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E0EE84A-521F-4E91-81E6-DD496FCAD4F9}" xr6:coauthVersionLast="47" xr6:coauthVersionMax="47" xr10:uidLastSave="{00000000-0000-0000-0000-000000000000}"/>
  <bookViews>
    <workbookView xWindow="2952" yWindow="2136" windowWidth="23040" windowHeight="12120" activeTab="1" xr2:uid="{00000000-000D-0000-FFFF-FFFF00000000}"/>
  </bookViews>
  <sheets>
    <sheet name="局部缺陷L" sheetId="18" r:id="rId1"/>
    <sheet name="材料组合M" sheetId="22" r:id="rId2"/>
    <sheet name="残余应力R" sheetId="3" r:id="rId3"/>
    <sheet name="拐角半径C" sheetId="20" r:id="rId4"/>
    <sheet name="拐角半径cn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22" l="1"/>
  <c r="AA2" i="22"/>
  <c r="AB2" i="22"/>
  <c r="AD2" i="22" s="1"/>
  <c r="AF2" i="22" s="1"/>
  <c r="AG2" i="22" s="1"/>
  <c r="AH2" i="22" s="1"/>
  <c r="AC2" i="22"/>
  <c r="AE2" i="22"/>
  <c r="Z3" i="22"/>
  <c r="AA3" i="22"/>
  <c r="AB3" i="22"/>
  <c r="AC3" i="22"/>
  <c r="AD3" i="22"/>
  <c r="AE3" i="22"/>
  <c r="AF3" i="22"/>
  <c r="AG3" i="22"/>
  <c r="AH3" i="22" s="1"/>
  <c r="Z4" i="22"/>
  <c r="AA4" i="22"/>
  <c r="AB4" i="22"/>
  <c r="AC4" i="22"/>
  <c r="AD4" i="22"/>
  <c r="AE4" i="22"/>
  <c r="AF4" i="22"/>
  <c r="AG4" i="22"/>
  <c r="AH4" i="22"/>
  <c r="Z5" i="22"/>
  <c r="AA5" i="22"/>
  <c r="AB5" i="22"/>
  <c r="AC5" i="22"/>
  <c r="AD5" i="22"/>
  <c r="AF5" i="22" s="1"/>
  <c r="AG5" i="22" s="1"/>
  <c r="AH5" i="22" s="1"/>
  <c r="AE5" i="22"/>
  <c r="Z6" i="22"/>
  <c r="AA6" i="22"/>
  <c r="AB6" i="22"/>
  <c r="AC6" i="22"/>
  <c r="AD6" i="22"/>
  <c r="AE6" i="22"/>
  <c r="AF6" i="22"/>
  <c r="AG6" i="22"/>
  <c r="AH6" i="22"/>
  <c r="Z7" i="22"/>
  <c r="AA7" i="22"/>
  <c r="AB7" i="22"/>
  <c r="AD7" i="22" s="1"/>
  <c r="AF7" i="22" s="1"/>
  <c r="AG7" i="22" s="1"/>
  <c r="AH7" i="22" s="1"/>
  <c r="AC7" i="22"/>
  <c r="AE7" i="22"/>
  <c r="Z8" i="22"/>
  <c r="AA8" i="22"/>
  <c r="AB8" i="22"/>
  <c r="AC8" i="22"/>
  <c r="AD8" i="22"/>
  <c r="AE8" i="22"/>
  <c r="AF8" i="22"/>
  <c r="AG8" i="22"/>
  <c r="AH8" i="22"/>
  <c r="Z9" i="22"/>
  <c r="AA9" i="22"/>
  <c r="AB9" i="22"/>
  <c r="AC9" i="22"/>
  <c r="AD9" i="22"/>
  <c r="AF9" i="22" s="1"/>
  <c r="AG9" i="22" s="1"/>
  <c r="AH9" i="22" s="1"/>
  <c r="AE9" i="22"/>
  <c r="Z10" i="22"/>
  <c r="AA10" i="22"/>
  <c r="AB10" i="22"/>
  <c r="AC10" i="22"/>
  <c r="AD10" i="22"/>
  <c r="AE10" i="22"/>
  <c r="AF10" i="22"/>
  <c r="AG10" i="22"/>
  <c r="AH10" i="22"/>
  <c r="Z11" i="22"/>
  <c r="AA11" i="22"/>
  <c r="AB11" i="22"/>
  <c r="AD11" i="22" s="1"/>
  <c r="AF11" i="22" s="1"/>
  <c r="AG11" i="22" s="1"/>
  <c r="AH11" i="22" s="1"/>
  <c r="AC11" i="22"/>
  <c r="AE11" i="22"/>
  <c r="Z12" i="22"/>
  <c r="AA12" i="22"/>
  <c r="AB12" i="22"/>
  <c r="AC12" i="22"/>
  <c r="AD12" i="22"/>
  <c r="AE12" i="22"/>
  <c r="AF12" i="22"/>
  <c r="AG12" i="22" s="1"/>
  <c r="AH12" i="22" s="1"/>
  <c r="Z13" i="22"/>
  <c r="AA13" i="22"/>
  <c r="AB13" i="22"/>
  <c r="AC13" i="22"/>
  <c r="AD13" i="22"/>
  <c r="AE13" i="22"/>
  <c r="AF13" i="22"/>
  <c r="AG13" i="22"/>
  <c r="AH13" i="22"/>
  <c r="Z14" i="22"/>
  <c r="AA14" i="22"/>
  <c r="AB14" i="22"/>
  <c r="AC14" i="22"/>
  <c r="AD14" i="22"/>
  <c r="AF14" i="22" s="1"/>
  <c r="AG14" i="22" s="1"/>
  <c r="AH14" i="22" s="1"/>
  <c r="AE14" i="22"/>
  <c r="Z15" i="22"/>
  <c r="AA15" i="22"/>
  <c r="AB15" i="22"/>
  <c r="AC15" i="22"/>
  <c r="AD15" i="22"/>
  <c r="AE15" i="22"/>
  <c r="AF15" i="22"/>
  <c r="AG15" i="22"/>
  <c r="AH15" i="22"/>
  <c r="Z16" i="22"/>
  <c r="AA16" i="22"/>
  <c r="AB16" i="22"/>
  <c r="AD16" i="22" s="1"/>
  <c r="AF16" i="22" s="1"/>
  <c r="AG16" i="22" s="1"/>
  <c r="AH16" i="22" s="1"/>
  <c r="AC16" i="22"/>
  <c r="AE16" i="22"/>
  <c r="Z17" i="22"/>
  <c r="AA17" i="22"/>
  <c r="AB17" i="22"/>
  <c r="AC17" i="22"/>
  <c r="AD17" i="22"/>
  <c r="AE17" i="22"/>
  <c r="AF17" i="22"/>
  <c r="AG17" i="22"/>
  <c r="AH17" i="22"/>
  <c r="Z18" i="22"/>
  <c r="AA18" i="22"/>
  <c r="AB18" i="22"/>
  <c r="AD18" i="22" s="1"/>
  <c r="AF18" i="22" s="1"/>
  <c r="AG18" i="22" s="1"/>
  <c r="AH18" i="22" s="1"/>
  <c r="AC18" i="22"/>
  <c r="AE18" i="22"/>
  <c r="Z19" i="22"/>
  <c r="AA19" i="22"/>
  <c r="AB19" i="22"/>
  <c r="AC19" i="22"/>
  <c r="AD19" i="22"/>
  <c r="AE19" i="22"/>
  <c r="AF19" i="22"/>
  <c r="AG19" i="22"/>
  <c r="AH19" i="22" s="1"/>
  <c r="Z20" i="22"/>
  <c r="AA20" i="22"/>
  <c r="AB20" i="22"/>
  <c r="AC20" i="22"/>
  <c r="AD20" i="22"/>
  <c r="AE20" i="22"/>
  <c r="AF20" i="22"/>
  <c r="AG20" i="22"/>
  <c r="AH20" i="22"/>
  <c r="Z21" i="22"/>
  <c r="AA21" i="22"/>
  <c r="AB21" i="22"/>
  <c r="AC21" i="22"/>
  <c r="AD21" i="22"/>
  <c r="AF21" i="22" s="1"/>
  <c r="AG21" i="22" s="1"/>
  <c r="AH21" i="22" s="1"/>
  <c r="AE21" i="22"/>
  <c r="Z22" i="22"/>
  <c r="AA22" i="22"/>
  <c r="AB22" i="22"/>
  <c r="AC22" i="22"/>
  <c r="AD22" i="22"/>
  <c r="AE22" i="22"/>
  <c r="AF22" i="22"/>
  <c r="AG22" i="22"/>
  <c r="AH22" i="22"/>
  <c r="Z23" i="22"/>
  <c r="AA23" i="22"/>
  <c r="AB23" i="22"/>
  <c r="AD23" i="22" s="1"/>
  <c r="AF23" i="22" s="1"/>
  <c r="AG23" i="22" s="1"/>
  <c r="AH23" i="22" s="1"/>
  <c r="AC23" i="22"/>
  <c r="AE23" i="22"/>
  <c r="Z24" i="22"/>
  <c r="AA24" i="22"/>
  <c r="AB24" i="22"/>
  <c r="AC24" i="22"/>
  <c r="AD24" i="22"/>
  <c r="AE24" i="22"/>
  <c r="AF24" i="22"/>
  <c r="AG24" i="22"/>
  <c r="AH24" i="22"/>
  <c r="Z25" i="22"/>
  <c r="AA25" i="22"/>
  <c r="AB25" i="22"/>
  <c r="AC25" i="22"/>
  <c r="AD25" i="22"/>
  <c r="AF25" i="22" s="1"/>
  <c r="AG25" i="22" s="1"/>
  <c r="AH25" i="22" s="1"/>
  <c r="AE25" i="22"/>
  <c r="Z26" i="22"/>
  <c r="AA26" i="22"/>
  <c r="AB26" i="22"/>
  <c r="AC26" i="22"/>
  <c r="AD26" i="22"/>
  <c r="AE26" i="22"/>
  <c r="AF26" i="22"/>
  <c r="AG26" i="22"/>
  <c r="AH26" i="22"/>
  <c r="Z27" i="22"/>
  <c r="AA27" i="22"/>
  <c r="AB27" i="22"/>
  <c r="AD27" i="22" s="1"/>
  <c r="AF27" i="22" s="1"/>
  <c r="AG27" i="22" s="1"/>
  <c r="AH27" i="22" s="1"/>
  <c r="AC27" i="22"/>
  <c r="AE27" i="22"/>
  <c r="Z28" i="22"/>
  <c r="AA28" i="22"/>
  <c r="AB28" i="22"/>
  <c r="AC28" i="22"/>
  <c r="AD28" i="22"/>
  <c r="AE28" i="22"/>
  <c r="AF28" i="22"/>
  <c r="AG28" i="22" s="1"/>
  <c r="AH28" i="22" s="1"/>
  <c r="Z29" i="22"/>
  <c r="AA29" i="22"/>
  <c r="AB29" i="22"/>
  <c r="AC29" i="22"/>
  <c r="AD29" i="22"/>
  <c r="AE29" i="22"/>
  <c r="AF29" i="22"/>
  <c r="AG29" i="22"/>
  <c r="AH29" i="22"/>
  <c r="Z30" i="22"/>
  <c r="AA30" i="22"/>
  <c r="AB30" i="22"/>
  <c r="AC30" i="22"/>
  <c r="AD30" i="22"/>
  <c r="AF30" i="22" s="1"/>
  <c r="AG30" i="22" s="1"/>
  <c r="AH30" i="22" s="1"/>
  <c r="AE30" i="22"/>
  <c r="Z31" i="22"/>
  <c r="AA31" i="22"/>
  <c r="AB31" i="22"/>
  <c r="AC31" i="22"/>
  <c r="AD31" i="22"/>
  <c r="AE31" i="22"/>
  <c r="AF31" i="22"/>
  <c r="AG31" i="22"/>
  <c r="AH31" i="22"/>
  <c r="Z32" i="22"/>
  <c r="AA32" i="22"/>
  <c r="AB32" i="22"/>
  <c r="AD32" i="22" s="1"/>
  <c r="AF32" i="22" s="1"/>
  <c r="AG32" i="22" s="1"/>
  <c r="AH32" i="22" s="1"/>
  <c r="AC32" i="22"/>
  <c r="AE32" i="22"/>
  <c r="Z33" i="22"/>
  <c r="AA33" i="22"/>
  <c r="AB33" i="22"/>
  <c r="AC33" i="22"/>
  <c r="AD33" i="22"/>
  <c r="AE33" i="22"/>
  <c r="AF33" i="22"/>
  <c r="AG33" i="22"/>
  <c r="AH33" i="22"/>
  <c r="Z34" i="22"/>
  <c r="AA34" i="22"/>
  <c r="AB34" i="22"/>
  <c r="AD34" i="22" s="1"/>
  <c r="AF34" i="22" s="1"/>
  <c r="AG34" i="22" s="1"/>
  <c r="AH34" i="22" s="1"/>
  <c r="AC34" i="22"/>
  <c r="AE34" i="22"/>
  <c r="R34" i="22"/>
  <c r="P34" i="22"/>
  <c r="O34" i="22"/>
  <c r="K34" i="22" s="1"/>
  <c r="M34" i="22"/>
  <c r="J34" i="22"/>
  <c r="Q34" i="22" s="1"/>
  <c r="S34" i="22" s="1"/>
  <c r="X34" i="22" s="1"/>
  <c r="H34" i="22"/>
  <c r="B34" i="22"/>
  <c r="R33" i="22"/>
  <c r="P33" i="22"/>
  <c r="O33" i="22"/>
  <c r="M33" i="22"/>
  <c r="J33" i="22"/>
  <c r="H33" i="22"/>
  <c r="B33" i="22"/>
  <c r="R32" i="22"/>
  <c r="P32" i="22"/>
  <c r="O32" i="22"/>
  <c r="M32" i="22"/>
  <c r="J32" i="22"/>
  <c r="Q32" i="22" s="1"/>
  <c r="S32" i="22" s="1"/>
  <c r="X32" i="22" s="1"/>
  <c r="H32" i="22"/>
  <c r="B32" i="22"/>
  <c r="R31" i="22"/>
  <c r="P31" i="22"/>
  <c r="O31" i="22"/>
  <c r="M31" i="22"/>
  <c r="J31" i="22"/>
  <c r="L31" i="22" s="1"/>
  <c r="H31" i="22"/>
  <c r="B31" i="22"/>
  <c r="R30" i="22"/>
  <c r="P30" i="22"/>
  <c r="O30" i="22"/>
  <c r="M30" i="22"/>
  <c r="J30" i="22"/>
  <c r="H30" i="22"/>
  <c r="B30" i="22"/>
  <c r="T29" i="22"/>
  <c r="R29" i="22"/>
  <c r="P29" i="22"/>
  <c r="O29" i="22"/>
  <c r="M29" i="22"/>
  <c r="J29" i="22"/>
  <c r="L29" i="22" s="1"/>
  <c r="H29" i="22"/>
  <c r="B29" i="22"/>
  <c r="R28" i="22"/>
  <c r="P28" i="22"/>
  <c r="O28" i="22"/>
  <c r="M28" i="22"/>
  <c r="J28" i="22"/>
  <c r="L28" i="22" s="1"/>
  <c r="H28" i="22"/>
  <c r="B28" i="22"/>
  <c r="R27" i="22"/>
  <c r="P27" i="22"/>
  <c r="O27" i="22"/>
  <c r="M27" i="22"/>
  <c r="J27" i="22"/>
  <c r="K27" i="22" s="1"/>
  <c r="H27" i="22"/>
  <c r="B27" i="22"/>
  <c r="R26" i="22"/>
  <c r="P26" i="22"/>
  <c r="O26" i="22"/>
  <c r="M26" i="22"/>
  <c r="J26" i="22"/>
  <c r="K26" i="22" s="1"/>
  <c r="H26" i="22"/>
  <c r="B26" i="22"/>
  <c r="R25" i="22"/>
  <c r="P25" i="22"/>
  <c r="O25" i="22"/>
  <c r="M25" i="22"/>
  <c r="J25" i="22"/>
  <c r="Q25" i="22" s="1"/>
  <c r="H25" i="22"/>
  <c r="B25" i="22"/>
  <c r="R24" i="22"/>
  <c r="P24" i="22"/>
  <c r="O24" i="22"/>
  <c r="M24" i="22"/>
  <c r="J24" i="22"/>
  <c r="Q24" i="22" s="1"/>
  <c r="H24" i="22"/>
  <c r="B24" i="22"/>
  <c r="T23" i="22"/>
  <c r="R23" i="22"/>
  <c r="P23" i="22"/>
  <c r="O23" i="22"/>
  <c r="M23" i="22"/>
  <c r="J23" i="22"/>
  <c r="Q23" i="22" s="1"/>
  <c r="S23" i="22" s="1"/>
  <c r="X23" i="22" s="1"/>
  <c r="H23" i="22"/>
  <c r="B23" i="22"/>
  <c r="T22" i="22"/>
  <c r="R22" i="22"/>
  <c r="Q22" i="22"/>
  <c r="P22" i="22"/>
  <c r="O22" i="22"/>
  <c r="K22" i="22" s="1"/>
  <c r="M22" i="22"/>
  <c r="J22" i="22"/>
  <c r="L22" i="22" s="1"/>
  <c r="H22" i="22"/>
  <c r="B22" i="22"/>
  <c r="R21" i="22"/>
  <c r="P21" i="22"/>
  <c r="O21" i="22"/>
  <c r="M21" i="22"/>
  <c r="J21" i="22"/>
  <c r="H21" i="22"/>
  <c r="B21" i="22"/>
  <c r="R20" i="22"/>
  <c r="P20" i="22"/>
  <c r="O20" i="22"/>
  <c r="M20" i="22"/>
  <c r="J20" i="22"/>
  <c r="K20" i="22" s="1"/>
  <c r="H20" i="22"/>
  <c r="T20" i="22" s="1"/>
  <c r="B20" i="22"/>
  <c r="R19" i="22"/>
  <c r="P19" i="22"/>
  <c r="O19" i="22"/>
  <c r="M19" i="22"/>
  <c r="J19" i="22"/>
  <c r="L19" i="22" s="1"/>
  <c r="H19" i="22"/>
  <c r="B19" i="22"/>
  <c r="R18" i="22"/>
  <c r="P18" i="22"/>
  <c r="O18" i="22"/>
  <c r="M18" i="22"/>
  <c r="J18" i="22"/>
  <c r="K18" i="22" s="1"/>
  <c r="H18" i="22"/>
  <c r="B18" i="22"/>
  <c r="R17" i="22"/>
  <c r="P17" i="22"/>
  <c r="O17" i="22"/>
  <c r="M17" i="22"/>
  <c r="J17" i="22"/>
  <c r="Q17" i="22" s="1"/>
  <c r="H17" i="22"/>
  <c r="B17" i="22"/>
  <c r="R16" i="22"/>
  <c r="P16" i="22"/>
  <c r="O16" i="22"/>
  <c r="M16" i="22"/>
  <c r="J16" i="22"/>
  <c r="Q16" i="22" s="1"/>
  <c r="H16" i="22"/>
  <c r="B16" i="22"/>
  <c r="R15" i="22"/>
  <c r="P15" i="22"/>
  <c r="O15" i="22"/>
  <c r="M15" i="22"/>
  <c r="J15" i="22"/>
  <c r="H15" i="22"/>
  <c r="B15" i="22"/>
  <c r="R14" i="22"/>
  <c r="P14" i="22"/>
  <c r="O14" i="22"/>
  <c r="M14" i="22"/>
  <c r="J14" i="22"/>
  <c r="T14" i="22" s="1"/>
  <c r="H14" i="22"/>
  <c r="B14" i="22"/>
  <c r="R13" i="22"/>
  <c r="P13" i="22"/>
  <c r="O13" i="22"/>
  <c r="M13" i="22"/>
  <c r="J13" i="22"/>
  <c r="L13" i="22" s="1"/>
  <c r="H13" i="22"/>
  <c r="B13" i="22"/>
  <c r="R12" i="22"/>
  <c r="P12" i="22"/>
  <c r="O12" i="22"/>
  <c r="M12" i="22"/>
  <c r="J12" i="22"/>
  <c r="K12" i="22" s="1"/>
  <c r="H12" i="22"/>
  <c r="B12" i="22"/>
  <c r="R11" i="22"/>
  <c r="P11" i="22"/>
  <c r="O11" i="22"/>
  <c r="M11" i="22"/>
  <c r="J11" i="22"/>
  <c r="H11" i="22"/>
  <c r="B11" i="22"/>
  <c r="R10" i="22"/>
  <c r="P10" i="22"/>
  <c r="O10" i="22"/>
  <c r="M10" i="22"/>
  <c r="J10" i="22"/>
  <c r="Q10" i="22" s="1"/>
  <c r="S10" i="22" s="1"/>
  <c r="X10" i="22" s="1"/>
  <c r="H10" i="22"/>
  <c r="B10" i="22"/>
  <c r="T9" i="22"/>
  <c r="R9" i="22"/>
  <c r="P9" i="22"/>
  <c r="O9" i="22"/>
  <c r="M9" i="22"/>
  <c r="J9" i="22"/>
  <c r="Q9" i="22" s="1"/>
  <c r="H9" i="22"/>
  <c r="B9" i="22"/>
  <c r="R8" i="22"/>
  <c r="P8" i="22"/>
  <c r="O8" i="22"/>
  <c r="M8" i="22"/>
  <c r="J8" i="22"/>
  <c r="H8" i="22"/>
  <c r="B8" i="22"/>
  <c r="R7" i="22"/>
  <c r="P7" i="22"/>
  <c r="O7" i="22"/>
  <c r="M7" i="22"/>
  <c r="J7" i="22"/>
  <c r="Q7" i="22" s="1"/>
  <c r="S7" i="22" s="1"/>
  <c r="X7" i="22" s="1"/>
  <c r="H7" i="22"/>
  <c r="B7" i="22"/>
  <c r="R6" i="22"/>
  <c r="P6" i="22"/>
  <c r="O6" i="22"/>
  <c r="M6" i="22"/>
  <c r="J6" i="22"/>
  <c r="L6" i="22" s="1"/>
  <c r="H6" i="22"/>
  <c r="B6" i="22"/>
  <c r="R5" i="22"/>
  <c r="P5" i="22"/>
  <c r="O5" i="22"/>
  <c r="M5" i="22"/>
  <c r="J5" i="22"/>
  <c r="H5" i="22"/>
  <c r="B5" i="22"/>
  <c r="R4" i="22"/>
  <c r="P4" i="22"/>
  <c r="O4" i="22"/>
  <c r="M4" i="22"/>
  <c r="J4" i="22"/>
  <c r="L4" i="22" s="1"/>
  <c r="H4" i="22"/>
  <c r="B4" i="22"/>
  <c r="R3" i="22"/>
  <c r="P3" i="22"/>
  <c r="O3" i="22"/>
  <c r="M3" i="22"/>
  <c r="J3" i="22"/>
  <c r="L3" i="22" s="1"/>
  <c r="H3" i="22"/>
  <c r="B3" i="22"/>
  <c r="R2" i="22"/>
  <c r="P2" i="22"/>
  <c r="O2" i="22"/>
  <c r="M2" i="22"/>
  <c r="J2" i="22"/>
  <c r="K2" i="22" s="1"/>
  <c r="H2" i="22"/>
  <c r="B2" i="22"/>
  <c r="T11" i="22" l="1"/>
  <c r="T5" i="22"/>
  <c r="Q18" i="22"/>
  <c r="S18" i="22" s="1"/>
  <c r="X18" i="22" s="1"/>
  <c r="T25" i="22"/>
  <c r="T30" i="22"/>
  <c r="T34" i="22"/>
  <c r="U34" i="22" s="1"/>
  <c r="V34" i="22" s="1"/>
  <c r="W34" i="22" s="1"/>
  <c r="T18" i="22"/>
  <c r="Q13" i="22"/>
  <c r="S13" i="22" s="1"/>
  <c r="X13" i="22" s="1"/>
  <c r="Q20" i="22"/>
  <c r="S20" i="22" s="1"/>
  <c r="X20" i="22" s="1"/>
  <c r="L12" i="22"/>
  <c r="T15" i="22"/>
  <c r="Q4" i="22"/>
  <c r="S4" i="22" s="1"/>
  <c r="X4" i="22" s="1"/>
  <c r="L15" i="22"/>
  <c r="Q2" i="22"/>
  <c r="T2" i="22"/>
  <c r="Q31" i="22"/>
  <c r="S31" i="22" s="1"/>
  <c r="X31" i="22" s="1"/>
  <c r="Q6" i="22"/>
  <c r="L17" i="22"/>
  <c r="S25" i="22"/>
  <c r="X25" i="22" s="1"/>
  <c r="S6" i="22"/>
  <c r="X6" i="22" s="1"/>
  <c r="T31" i="22"/>
  <c r="U31" i="22" s="1"/>
  <c r="V31" i="22" s="1"/>
  <c r="W31" i="22" s="1"/>
  <c r="S17" i="22"/>
  <c r="X17" i="22" s="1"/>
  <c r="T6" i="22"/>
  <c r="T12" i="22"/>
  <c r="T21" i="22"/>
  <c r="S22" i="22"/>
  <c r="X22" i="22" s="1"/>
  <c r="L34" i="22"/>
  <c r="T8" i="22"/>
  <c r="S16" i="22"/>
  <c r="X16" i="22" s="1"/>
  <c r="T33" i="22"/>
  <c r="U33" i="22" s="1"/>
  <c r="V33" i="22" s="1"/>
  <c r="W33" i="22" s="1"/>
  <c r="L11" i="22"/>
  <c r="T13" i="22"/>
  <c r="S24" i="22"/>
  <c r="X24" i="22" s="1"/>
  <c r="T28" i="22"/>
  <c r="L33" i="22"/>
  <c r="K15" i="22"/>
  <c r="L27" i="22"/>
  <c r="K28" i="22"/>
  <c r="Q29" i="22"/>
  <c r="S29" i="22" s="1"/>
  <c r="X29" i="22" s="1"/>
  <c r="K11" i="22"/>
  <c r="Q11" i="22"/>
  <c r="S11" i="22" s="1"/>
  <c r="X11" i="22" s="1"/>
  <c r="K10" i="22"/>
  <c r="T19" i="22"/>
  <c r="U19" i="22" s="1"/>
  <c r="V19" i="22" s="1"/>
  <c r="W19" i="22" s="1"/>
  <c r="T26" i="22"/>
  <c r="Q27" i="22"/>
  <c r="S27" i="22" s="1"/>
  <c r="X27" i="22" s="1"/>
  <c r="K31" i="22"/>
  <c r="T16" i="22"/>
  <c r="U16" i="22" s="1"/>
  <c r="V16" i="22" s="1"/>
  <c r="W16" i="22" s="1"/>
  <c r="Q15" i="22"/>
  <c r="S15" i="22" s="1"/>
  <c r="X15" i="22" s="1"/>
  <c r="L18" i="22"/>
  <c r="T27" i="22"/>
  <c r="T4" i="22"/>
  <c r="U4" i="22" s="1"/>
  <c r="V4" i="22" s="1"/>
  <c r="W4" i="22" s="1"/>
  <c r="K6" i="22"/>
  <c r="T7" i="22"/>
  <c r="U7" i="22" s="1"/>
  <c r="V7" i="22" s="1"/>
  <c r="W7" i="22" s="1"/>
  <c r="S9" i="22"/>
  <c r="U9" i="22" s="1"/>
  <c r="V9" i="22" s="1"/>
  <c r="W9" i="22" s="1"/>
  <c r="T32" i="22"/>
  <c r="U32" i="22" s="1"/>
  <c r="V32" i="22" s="1"/>
  <c r="W32" i="22" s="1"/>
  <c r="S2" i="22"/>
  <c r="X2" i="22" s="1"/>
  <c r="L2" i="22"/>
  <c r="U23" i="22"/>
  <c r="V23" i="22" s="1"/>
  <c r="W23" i="22" s="1"/>
  <c r="X9" i="22"/>
  <c r="U2" i="22"/>
  <c r="V2" i="22" s="1"/>
  <c r="W2" i="22" s="1"/>
  <c r="U18" i="22"/>
  <c r="V18" i="22" s="1"/>
  <c r="W18" i="22" s="1"/>
  <c r="K8" i="22"/>
  <c r="K24" i="22"/>
  <c r="L8" i="22"/>
  <c r="K17" i="22"/>
  <c r="L24" i="22"/>
  <c r="K33" i="22"/>
  <c r="K3" i="22"/>
  <c r="L10" i="22"/>
  <c r="K19" i="22"/>
  <c r="L26" i="22"/>
  <c r="Q8" i="22"/>
  <c r="S8" i="22" s="1"/>
  <c r="X8" i="22" s="1"/>
  <c r="L5" i="22"/>
  <c r="L21" i="22"/>
  <c r="Q33" i="22"/>
  <c r="S33" i="22" s="1"/>
  <c r="X33" i="22" s="1"/>
  <c r="K23" i="22"/>
  <c r="Q26" i="22"/>
  <c r="S26" i="22" s="1"/>
  <c r="X26" i="22" s="1"/>
  <c r="K25" i="22"/>
  <c r="Q28" i="22"/>
  <c r="S28" i="22" s="1"/>
  <c r="X28" i="22" s="1"/>
  <c r="L32" i="22"/>
  <c r="K5" i="22"/>
  <c r="Q3" i="22"/>
  <c r="S3" i="22" s="1"/>
  <c r="X3" i="22" s="1"/>
  <c r="L7" i="22"/>
  <c r="K16" i="22"/>
  <c r="Q19" i="22"/>
  <c r="S19" i="22" s="1"/>
  <c r="X19" i="22" s="1"/>
  <c r="L23" i="22"/>
  <c r="T24" i="22"/>
  <c r="K32" i="22"/>
  <c r="K9" i="22"/>
  <c r="Q12" i="22"/>
  <c r="S12" i="22" s="1"/>
  <c r="X12" i="22" s="1"/>
  <c r="L16" i="22"/>
  <c r="T17" i="22"/>
  <c r="Q5" i="22"/>
  <c r="S5" i="22" s="1"/>
  <c r="X5" i="22" s="1"/>
  <c r="L9" i="22"/>
  <c r="T10" i="22"/>
  <c r="U10" i="22" s="1"/>
  <c r="V10" i="22" s="1"/>
  <c r="W10" i="22" s="1"/>
  <c r="Q21" i="22"/>
  <c r="S21" i="22" s="1"/>
  <c r="X21" i="22" s="1"/>
  <c r="L25" i="22"/>
  <c r="Q30" i="22"/>
  <c r="S30" i="22" s="1"/>
  <c r="X30" i="22" s="1"/>
  <c r="K21" i="22"/>
  <c r="K7" i="22"/>
  <c r="L14" i="22"/>
  <c r="L30" i="22"/>
  <c r="K14" i="22"/>
  <c r="T3" i="22"/>
  <c r="K4" i="22"/>
  <c r="K13" i="22"/>
  <c r="L20" i="22"/>
  <c r="K29" i="22"/>
  <c r="K30" i="22"/>
  <c r="Q14" i="22"/>
  <c r="S14" i="22" s="1"/>
  <c r="X14" i="22" s="1"/>
  <c r="U6" i="22" l="1"/>
  <c r="V6" i="22" s="1"/>
  <c r="W6" i="22" s="1"/>
  <c r="U11" i="22"/>
  <c r="V11" i="22" s="1"/>
  <c r="W11" i="22" s="1"/>
  <c r="U24" i="22"/>
  <c r="V24" i="22" s="1"/>
  <c r="W24" i="22" s="1"/>
  <c r="U13" i="22"/>
  <c r="V13" i="22" s="1"/>
  <c r="W13" i="22" s="1"/>
  <c r="U12" i="22"/>
  <c r="V12" i="22" s="1"/>
  <c r="W12" i="22" s="1"/>
  <c r="U17" i="22"/>
  <c r="V17" i="22" s="1"/>
  <c r="W17" i="22" s="1"/>
  <c r="U29" i="22"/>
  <c r="V29" i="22" s="1"/>
  <c r="W29" i="22" s="1"/>
  <c r="U25" i="22"/>
  <c r="V25" i="22" s="1"/>
  <c r="W25" i="22" s="1"/>
  <c r="U15" i="22"/>
  <c r="V15" i="22" s="1"/>
  <c r="W15" i="22" s="1"/>
  <c r="U22" i="22"/>
  <c r="V22" i="22" s="1"/>
  <c r="W22" i="22" s="1"/>
  <c r="U27" i="22"/>
  <c r="V27" i="22" s="1"/>
  <c r="W27" i="22" s="1"/>
  <c r="U20" i="22"/>
  <c r="V20" i="22" s="1"/>
  <c r="W20" i="22" s="1"/>
  <c r="U28" i="22"/>
  <c r="V28" i="22" s="1"/>
  <c r="W28" i="22" s="1"/>
  <c r="U30" i="22"/>
  <c r="V30" i="22" s="1"/>
  <c r="W30" i="22" s="1"/>
  <c r="U5" i="22"/>
  <c r="V5" i="22" s="1"/>
  <c r="W5" i="22" s="1"/>
  <c r="U14" i="22"/>
  <c r="V14" i="22" s="1"/>
  <c r="W14" i="22" s="1"/>
  <c r="U26" i="22"/>
  <c r="V26" i="22" s="1"/>
  <c r="W26" i="22" s="1"/>
  <c r="U21" i="22"/>
  <c r="V21" i="22" s="1"/>
  <c r="W21" i="22" s="1"/>
  <c r="U3" i="22"/>
  <c r="V3" i="22" s="1"/>
  <c r="W3" i="22" s="1"/>
  <c r="U8" i="22"/>
  <c r="V8" i="22" s="1"/>
  <c r="W8" i="22" s="1"/>
  <c r="Z3" i="20" l="1"/>
  <c r="Z4" i="20"/>
  <c r="Z5" i="20"/>
  <c r="Z6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2" i="20"/>
  <c r="AD56" i="20"/>
  <c r="AB56" i="20"/>
  <c r="AA56" i="20"/>
  <c r="AC56" i="20" s="1"/>
  <c r="AE56" i="20" s="1"/>
  <c r="Q56" i="20"/>
  <c r="O56" i="20"/>
  <c r="N56" i="20"/>
  <c r="L56" i="20"/>
  <c r="I56" i="20"/>
  <c r="P56" i="20" s="1"/>
  <c r="R56" i="20" s="1"/>
  <c r="W56" i="20" s="1"/>
  <c r="Y56" i="20" s="1"/>
  <c r="G56" i="20"/>
  <c r="AD55" i="20"/>
  <c r="AB55" i="20"/>
  <c r="AA55" i="20"/>
  <c r="AC55" i="20" s="1"/>
  <c r="AE55" i="20" s="1"/>
  <c r="Q55" i="20"/>
  <c r="O55" i="20"/>
  <c r="N55" i="20"/>
  <c r="L55" i="20"/>
  <c r="I55" i="20"/>
  <c r="K55" i="20" s="1"/>
  <c r="G55" i="20"/>
  <c r="AD54" i="20"/>
  <c r="AB54" i="20"/>
  <c r="AA54" i="20"/>
  <c r="AC54" i="20" s="1"/>
  <c r="AE54" i="20" s="1"/>
  <c r="Q54" i="20"/>
  <c r="O54" i="20"/>
  <c r="N54" i="20"/>
  <c r="L54" i="20"/>
  <c r="I54" i="20"/>
  <c r="P54" i="20" s="1"/>
  <c r="G54" i="20"/>
  <c r="AD53" i="20"/>
  <c r="AC53" i="20"/>
  <c r="AE53" i="20" s="1"/>
  <c r="AB53" i="20"/>
  <c r="AA53" i="20"/>
  <c r="Q53" i="20"/>
  <c r="O53" i="20"/>
  <c r="N53" i="20"/>
  <c r="L53" i="20"/>
  <c r="I53" i="20"/>
  <c r="K53" i="20" s="1"/>
  <c r="G53" i="20"/>
  <c r="AD52" i="20"/>
  <c r="AB52" i="20"/>
  <c r="AA52" i="20"/>
  <c r="AC52" i="20" s="1"/>
  <c r="AE52" i="20" s="1"/>
  <c r="Q52" i="20"/>
  <c r="O52" i="20"/>
  <c r="N52" i="20"/>
  <c r="L52" i="20"/>
  <c r="I52" i="20"/>
  <c r="P52" i="20" s="1"/>
  <c r="R52" i="20" s="1"/>
  <c r="W52" i="20" s="1"/>
  <c r="Y52" i="20" s="1"/>
  <c r="G52" i="20"/>
  <c r="AD51" i="20"/>
  <c r="AB51" i="20"/>
  <c r="AA51" i="20"/>
  <c r="AC51" i="20" s="1"/>
  <c r="AE51" i="20" s="1"/>
  <c r="Q51" i="20"/>
  <c r="O51" i="20"/>
  <c r="N51" i="20"/>
  <c r="L51" i="20"/>
  <c r="I51" i="20"/>
  <c r="K51" i="20" s="1"/>
  <c r="G51" i="20"/>
  <c r="AD50" i="20"/>
  <c r="AB50" i="20"/>
  <c r="AA50" i="20"/>
  <c r="AC50" i="20" s="1"/>
  <c r="AE50" i="20" s="1"/>
  <c r="Q50" i="20"/>
  <c r="O50" i="20"/>
  <c r="N50" i="20"/>
  <c r="L50" i="20"/>
  <c r="I50" i="20"/>
  <c r="P50" i="20" s="1"/>
  <c r="G50" i="20"/>
  <c r="AD49" i="20"/>
  <c r="AC49" i="20"/>
  <c r="AE49" i="20" s="1"/>
  <c r="AB49" i="20"/>
  <c r="AA49" i="20"/>
  <c r="Q49" i="20"/>
  <c r="O49" i="20"/>
  <c r="N49" i="20"/>
  <c r="L49" i="20"/>
  <c r="I49" i="20"/>
  <c r="K49" i="20" s="1"/>
  <c r="G49" i="20"/>
  <c r="AD48" i="20"/>
  <c r="AB48" i="20"/>
  <c r="AA48" i="20"/>
  <c r="AC48" i="20" s="1"/>
  <c r="AE48" i="20" s="1"/>
  <c r="Q48" i="20"/>
  <c r="O48" i="20"/>
  <c r="N48" i="20"/>
  <c r="L48" i="20"/>
  <c r="I48" i="20"/>
  <c r="P48" i="20" s="1"/>
  <c r="R48" i="20" s="1"/>
  <c r="W48" i="20" s="1"/>
  <c r="Y48" i="20" s="1"/>
  <c r="G48" i="20"/>
  <c r="AD47" i="20"/>
  <c r="AB47" i="20"/>
  <c r="AA47" i="20"/>
  <c r="AC47" i="20" s="1"/>
  <c r="AE47" i="20" s="1"/>
  <c r="Q47" i="20"/>
  <c r="O47" i="20"/>
  <c r="N47" i="20"/>
  <c r="L47" i="20"/>
  <c r="I47" i="20"/>
  <c r="P47" i="20" s="1"/>
  <c r="R47" i="20" s="1"/>
  <c r="W47" i="20" s="1"/>
  <c r="Y47" i="20" s="1"/>
  <c r="G47" i="20"/>
  <c r="AD46" i="20"/>
  <c r="AB46" i="20"/>
  <c r="AA46" i="20"/>
  <c r="AC46" i="20" s="1"/>
  <c r="AE46" i="20" s="1"/>
  <c r="Q46" i="20"/>
  <c r="O46" i="20"/>
  <c r="N46" i="20"/>
  <c r="L46" i="20"/>
  <c r="I46" i="20"/>
  <c r="P46" i="20" s="1"/>
  <c r="G46" i="20"/>
  <c r="AD45" i="20"/>
  <c r="AE45" i="20" s="1"/>
  <c r="AB45" i="20"/>
  <c r="AA45" i="20"/>
  <c r="AC45" i="20" s="1"/>
  <c r="Q45" i="20"/>
  <c r="O45" i="20"/>
  <c r="N45" i="20"/>
  <c r="L45" i="20"/>
  <c r="I45" i="20"/>
  <c r="J45" i="20" s="1"/>
  <c r="G45" i="20"/>
  <c r="AD44" i="20"/>
  <c r="AB44" i="20"/>
  <c r="AA44" i="20"/>
  <c r="AC44" i="20" s="1"/>
  <c r="AE44" i="20" s="1"/>
  <c r="AF44" i="20" s="1"/>
  <c r="AG44" i="20" s="1"/>
  <c r="Q44" i="20"/>
  <c r="O44" i="20"/>
  <c r="N44" i="20"/>
  <c r="L44" i="20"/>
  <c r="I44" i="20"/>
  <c r="P44" i="20" s="1"/>
  <c r="R44" i="20" s="1"/>
  <c r="W44" i="20" s="1"/>
  <c r="Y44" i="20" s="1"/>
  <c r="G44" i="20"/>
  <c r="AD43" i="20"/>
  <c r="AB43" i="20"/>
  <c r="AA43" i="20"/>
  <c r="AC43" i="20" s="1"/>
  <c r="AE43" i="20" s="1"/>
  <c r="Q43" i="20"/>
  <c r="O43" i="20"/>
  <c r="N43" i="20"/>
  <c r="L43" i="20"/>
  <c r="I43" i="20"/>
  <c r="P43" i="20" s="1"/>
  <c r="G43" i="20"/>
  <c r="AD42" i="20"/>
  <c r="AB42" i="20"/>
  <c r="AA42" i="20"/>
  <c r="AC42" i="20" s="1"/>
  <c r="AE42" i="20" s="1"/>
  <c r="Q42" i="20"/>
  <c r="O42" i="20"/>
  <c r="N42" i="20"/>
  <c r="L42" i="20"/>
  <c r="I42" i="20"/>
  <c r="P42" i="20" s="1"/>
  <c r="R42" i="20" s="1"/>
  <c r="W42" i="20" s="1"/>
  <c r="Y42" i="20" s="1"/>
  <c r="G42" i="20"/>
  <c r="AD41" i="20"/>
  <c r="AB41" i="20"/>
  <c r="AA41" i="20"/>
  <c r="AC41" i="20" s="1"/>
  <c r="AE41" i="20" s="1"/>
  <c r="Q41" i="20"/>
  <c r="O41" i="20"/>
  <c r="N41" i="20"/>
  <c r="L41" i="20"/>
  <c r="I41" i="20"/>
  <c r="J41" i="20" s="1"/>
  <c r="G41" i="20"/>
  <c r="AD40" i="20"/>
  <c r="AC40" i="20"/>
  <c r="AE40" i="20" s="1"/>
  <c r="AB40" i="20"/>
  <c r="AA40" i="20"/>
  <c r="Q40" i="20"/>
  <c r="O40" i="20"/>
  <c r="N40" i="20"/>
  <c r="L40" i="20"/>
  <c r="I40" i="20"/>
  <c r="P40" i="20" s="1"/>
  <c r="R40" i="20" s="1"/>
  <c r="W40" i="20" s="1"/>
  <c r="Y40" i="20" s="1"/>
  <c r="G40" i="20"/>
  <c r="AD39" i="20"/>
  <c r="AB39" i="20"/>
  <c r="AA39" i="20"/>
  <c r="AC39" i="20" s="1"/>
  <c r="AE39" i="20" s="1"/>
  <c r="Q39" i="20"/>
  <c r="O39" i="20"/>
  <c r="N39" i="20"/>
  <c r="L39" i="20"/>
  <c r="I39" i="20"/>
  <c r="G39" i="20"/>
  <c r="AD38" i="20"/>
  <c r="AB38" i="20"/>
  <c r="AA38" i="20"/>
  <c r="AC38" i="20" s="1"/>
  <c r="AE38" i="20" s="1"/>
  <c r="Q38" i="20"/>
  <c r="O38" i="20"/>
  <c r="N38" i="20"/>
  <c r="L38" i="20"/>
  <c r="I38" i="20"/>
  <c r="G38" i="20"/>
  <c r="AD37" i="20"/>
  <c r="AC37" i="20"/>
  <c r="AE37" i="20" s="1"/>
  <c r="AB37" i="20"/>
  <c r="AA37" i="20"/>
  <c r="Q37" i="20"/>
  <c r="O37" i="20"/>
  <c r="N37" i="20"/>
  <c r="L37" i="20"/>
  <c r="I37" i="20"/>
  <c r="K37" i="20" s="1"/>
  <c r="G37" i="20"/>
  <c r="AD36" i="20"/>
  <c r="AB36" i="20"/>
  <c r="AA36" i="20"/>
  <c r="AC36" i="20" s="1"/>
  <c r="AE36" i="20" s="1"/>
  <c r="Q36" i="20"/>
  <c r="O36" i="20"/>
  <c r="N36" i="20"/>
  <c r="L36" i="20"/>
  <c r="I36" i="20"/>
  <c r="P36" i="20" s="1"/>
  <c r="G36" i="20"/>
  <c r="AD35" i="20"/>
  <c r="AB35" i="20"/>
  <c r="AA35" i="20"/>
  <c r="AC35" i="20" s="1"/>
  <c r="AE35" i="20" s="1"/>
  <c r="Q35" i="20"/>
  <c r="O35" i="20"/>
  <c r="N35" i="20"/>
  <c r="L35" i="20"/>
  <c r="I35" i="20"/>
  <c r="G35" i="20"/>
  <c r="AD34" i="20"/>
  <c r="AC34" i="20"/>
  <c r="AB34" i="20"/>
  <c r="AA34" i="20"/>
  <c r="Q34" i="20"/>
  <c r="O34" i="20"/>
  <c r="N34" i="20"/>
  <c r="L34" i="20"/>
  <c r="I34" i="20"/>
  <c r="P34" i="20" s="1"/>
  <c r="R34" i="20" s="1"/>
  <c r="W34" i="20" s="1"/>
  <c r="Y34" i="20" s="1"/>
  <c r="G34" i="20"/>
  <c r="AD33" i="20"/>
  <c r="AB33" i="20"/>
  <c r="AA33" i="20"/>
  <c r="AC33" i="20" s="1"/>
  <c r="AE33" i="20" s="1"/>
  <c r="Q33" i="20"/>
  <c r="O33" i="20"/>
  <c r="N33" i="20"/>
  <c r="L33" i="20"/>
  <c r="I33" i="20"/>
  <c r="K33" i="20" s="1"/>
  <c r="G33" i="20"/>
  <c r="AD32" i="20"/>
  <c r="AB32" i="20"/>
  <c r="AA32" i="20"/>
  <c r="AC32" i="20" s="1"/>
  <c r="AE32" i="20" s="1"/>
  <c r="AF32" i="20" s="1"/>
  <c r="AG32" i="20" s="1"/>
  <c r="Q32" i="20"/>
  <c r="O32" i="20"/>
  <c r="N32" i="20"/>
  <c r="L32" i="20"/>
  <c r="I32" i="20"/>
  <c r="P32" i="20" s="1"/>
  <c r="G32" i="20"/>
  <c r="AD31" i="20"/>
  <c r="AC31" i="20"/>
  <c r="AE31" i="20" s="1"/>
  <c r="AB31" i="20"/>
  <c r="AA31" i="20"/>
  <c r="Q31" i="20"/>
  <c r="O31" i="20"/>
  <c r="N31" i="20"/>
  <c r="L31" i="20"/>
  <c r="I31" i="20"/>
  <c r="G31" i="20"/>
  <c r="AD30" i="20"/>
  <c r="AB30" i="20"/>
  <c r="AA30" i="20"/>
  <c r="AC30" i="20" s="1"/>
  <c r="AE30" i="20" s="1"/>
  <c r="Q30" i="20"/>
  <c r="O30" i="20"/>
  <c r="N30" i="20"/>
  <c r="L30" i="20"/>
  <c r="I30" i="20"/>
  <c r="P30" i="20" s="1"/>
  <c r="R30" i="20" s="1"/>
  <c r="W30" i="20" s="1"/>
  <c r="Y30" i="20" s="1"/>
  <c r="G30" i="20"/>
  <c r="AD29" i="20"/>
  <c r="AB29" i="20"/>
  <c r="AA29" i="20"/>
  <c r="AC29" i="20" s="1"/>
  <c r="AE29" i="20" s="1"/>
  <c r="Q29" i="20"/>
  <c r="O29" i="20"/>
  <c r="N29" i="20"/>
  <c r="L29" i="20"/>
  <c r="I29" i="20"/>
  <c r="P29" i="20" s="1"/>
  <c r="R29" i="20" s="1"/>
  <c r="W29" i="20" s="1"/>
  <c r="Y29" i="20" s="1"/>
  <c r="G29" i="20"/>
  <c r="AD28" i="20"/>
  <c r="AB28" i="20"/>
  <c r="AA28" i="20"/>
  <c r="AC28" i="20" s="1"/>
  <c r="AE28" i="20" s="1"/>
  <c r="Q28" i="20"/>
  <c r="O28" i="20"/>
  <c r="N28" i="20"/>
  <c r="L28" i="20"/>
  <c r="I28" i="20"/>
  <c r="P28" i="20" s="1"/>
  <c r="G28" i="20"/>
  <c r="AD27" i="20"/>
  <c r="AB27" i="20"/>
  <c r="AA27" i="20"/>
  <c r="AC27" i="20" s="1"/>
  <c r="AE27" i="20" s="1"/>
  <c r="Q27" i="20"/>
  <c r="O27" i="20"/>
  <c r="N27" i="20"/>
  <c r="L27" i="20"/>
  <c r="I27" i="20"/>
  <c r="K27" i="20" s="1"/>
  <c r="G27" i="20"/>
  <c r="AD26" i="20"/>
  <c r="AB26" i="20"/>
  <c r="AA26" i="20"/>
  <c r="AC26" i="20" s="1"/>
  <c r="AE26" i="20" s="1"/>
  <c r="Q26" i="20"/>
  <c r="R26" i="20" s="1"/>
  <c r="W26" i="20" s="1"/>
  <c r="Y26" i="20" s="1"/>
  <c r="O26" i="20"/>
  <c r="N26" i="20"/>
  <c r="L26" i="20"/>
  <c r="I26" i="20"/>
  <c r="P26" i="20" s="1"/>
  <c r="G26" i="20"/>
  <c r="AD25" i="20"/>
  <c r="AB25" i="20"/>
  <c r="AA25" i="20"/>
  <c r="AC25" i="20" s="1"/>
  <c r="AE25" i="20" s="1"/>
  <c r="Q25" i="20"/>
  <c r="O25" i="20"/>
  <c r="N25" i="20"/>
  <c r="L25" i="20"/>
  <c r="I25" i="20"/>
  <c r="G25" i="20"/>
  <c r="AD24" i="20"/>
  <c r="AB24" i="20"/>
  <c r="AA24" i="20"/>
  <c r="AC24" i="20" s="1"/>
  <c r="AE24" i="20" s="1"/>
  <c r="Q24" i="20"/>
  <c r="O24" i="20"/>
  <c r="N24" i="20"/>
  <c r="L24" i="20"/>
  <c r="I24" i="20"/>
  <c r="G24" i="20"/>
  <c r="AD23" i="20"/>
  <c r="AB23" i="20"/>
  <c r="AA23" i="20"/>
  <c r="AC23" i="20" s="1"/>
  <c r="AE23" i="20" s="1"/>
  <c r="Q23" i="20"/>
  <c r="O23" i="20"/>
  <c r="N23" i="20"/>
  <c r="L23" i="20"/>
  <c r="I23" i="20"/>
  <c r="K23" i="20" s="1"/>
  <c r="G23" i="20"/>
  <c r="AD22" i="20"/>
  <c r="AC22" i="20"/>
  <c r="AE22" i="20" s="1"/>
  <c r="AB22" i="20"/>
  <c r="AA22" i="20"/>
  <c r="Q22" i="20"/>
  <c r="O22" i="20"/>
  <c r="N22" i="20"/>
  <c r="L22" i="20"/>
  <c r="I22" i="20"/>
  <c r="P22" i="20" s="1"/>
  <c r="R22" i="20" s="1"/>
  <c r="W22" i="20" s="1"/>
  <c r="Y22" i="20" s="1"/>
  <c r="G22" i="20"/>
  <c r="AD21" i="20"/>
  <c r="AB21" i="20"/>
  <c r="AA21" i="20"/>
  <c r="AC21" i="20" s="1"/>
  <c r="AE21" i="20" s="1"/>
  <c r="Q21" i="20"/>
  <c r="O21" i="20"/>
  <c r="N21" i="20"/>
  <c r="L21" i="20"/>
  <c r="I21" i="20"/>
  <c r="P21" i="20" s="1"/>
  <c r="G21" i="20"/>
  <c r="AD20" i="20"/>
  <c r="AC20" i="20"/>
  <c r="AE20" i="20" s="1"/>
  <c r="AB20" i="20"/>
  <c r="AA20" i="20"/>
  <c r="Q20" i="20"/>
  <c r="O20" i="20"/>
  <c r="N20" i="20"/>
  <c r="L20" i="20"/>
  <c r="I20" i="20"/>
  <c r="G20" i="20"/>
  <c r="AD19" i="20"/>
  <c r="AC19" i="20"/>
  <c r="AE19" i="20" s="1"/>
  <c r="AB19" i="20"/>
  <c r="AA19" i="20"/>
  <c r="Q19" i="20"/>
  <c r="O19" i="20"/>
  <c r="N19" i="20"/>
  <c r="L19" i="20"/>
  <c r="I19" i="20"/>
  <c r="K19" i="20" s="1"/>
  <c r="G19" i="20"/>
  <c r="AD18" i="20"/>
  <c r="AB18" i="20"/>
  <c r="AA18" i="20"/>
  <c r="AC18" i="20" s="1"/>
  <c r="AE18" i="20" s="1"/>
  <c r="AF18" i="20" s="1"/>
  <c r="AG18" i="20" s="1"/>
  <c r="Q18" i="20"/>
  <c r="O18" i="20"/>
  <c r="N18" i="20"/>
  <c r="L18" i="20"/>
  <c r="I18" i="20"/>
  <c r="P18" i="20" s="1"/>
  <c r="R18" i="20" s="1"/>
  <c r="W18" i="20" s="1"/>
  <c r="Y18" i="20" s="1"/>
  <c r="G18" i="20"/>
  <c r="AD17" i="20"/>
  <c r="AC17" i="20"/>
  <c r="AE17" i="20" s="1"/>
  <c r="AB17" i="20"/>
  <c r="AA17" i="20"/>
  <c r="Q17" i="20"/>
  <c r="O17" i="20"/>
  <c r="N17" i="20"/>
  <c r="L17" i="20"/>
  <c r="I17" i="20"/>
  <c r="G17" i="20"/>
  <c r="AD16" i="20"/>
  <c r="AB16" i="20"/>
  <c r="AA16" i="20"/>
  <c r="AC16" i="20" s="1"/>
  <c r="Q16" i="20"/>
  <c r="O16" i="20"/>
  <c r="N16" i="20"/>
  <c r="L16" i="20"/>
  <c r="I16" i="20"/>
  <c r="P16" i="20" s="1"/>
  <c r="R16" i="20" s="1"/>
  <c r="W16" i="20" s="1"/>
  <c r="Y16" i="20" s="1"/>
  <c r="G16" i="20"/>
  <c r="AD15" i="20"/>
  <c r="AB15" i="20"/>
  <c r="AA15" i="20"/>
  <c r="AC15" i="20" s="1"/>
  <c r="AE15" i="20" s="1"/>
  <c r="Q15" i="20"/>
  <c r="O15" i="20"/>
  <c r="N15" i="20"/>
  <c r="L15" i="20"/>
  <c r="K15" i="20"/>
  <c r="I15" i="20"/>
  <c r="P15" i="20" s="1"/>
  <c r="R15" i="20" s="1"/>
  <c r="W15" i="20" s="1"/>
  <c r="Y15" i="20" s="1"/>
  <c r="G15" i="20"/>
  <c r="AD14" i="20"/>
  <c r="AB14" i="20"/>
  <c r="AA14" i="20"/>
  <c r="AC14" i="20" s="1"/>
  <c r="AE14" i="20" s="1"/>
  <c r="Q14" i="20"/>
  <c r="O14" i="20"/>
  <c r="N14" i="20"/>
  <c r="L14" i="20"/>
  <c r="I14" i="20"/>
  <c r="P14" i="20" s="1"/>
  <c r="G14" i="20"/>
  <c r="AD13" i="20"/>
  <c r="AE13" i="20" s="1"/>
  <c r="AB13" i="20"/>
  <c r="AA13" i="20"/>
  <c r="AC13" i="20" s="1"/>
  <c r="Q13" i="20"/>
  <c r="O13" i="20"/>
  <c r="N13" i="20"/>
  <c r="L13" i="20"/>
  <c r="I13" i="20"/>
  <c r="G13" i="20"/>
  <c r="AD12" i="20"/>
  <c r="AB12" i="20"/>
  <c r="AA12" i="20"/>
  <c r="AC12" i="20" s="1"/>
  <c r="AE12" i="20" s="1"/>
  <c r="Q12" i="20"/>
  <c r="R12" i="20" s="1"/>
  <c r="W12" i="20" s="1"/>
  <c r="Y12" i="20" s="1"/>
  <c r="O12" i="20"/>
  <c r="N12" i="20"/>
  <c r="L12" i="20"/>
  <c r="I12" i="20"/>
  <c r="P12" i="20" s="1"/>
  <c r="G12" i="20"/>
  <c r="AD11" i="20"/>
  <c r="AB11" i="20"/>
  <c r="AA11" i="20"/>
  <c r="AC11" i="20" s="1"/>
  <c r="AE11" i="20" s="1"/>
  <c r="Q11" i="20"/>
  <c r="O11" i="20"/>
  <c r="N11" i="20"/>
  <c r="L11" i="20"/>
  <c r="I11" i="20"/>
  <c r="P11" i="20" s="1"/>
  <c r="R11" i="20" s="1"/>
  <c r="W11" i="20" s="1"/>
  <c r="Y11" i="20" s="1"/>
  <c r="G11" i="20"/>
  <c r="AD10" i="20"/>
  <c r="AB10" i="20"/>
  <c r="AA10" i="20"/>
  <c r="AC10" i="20" s="1"/>
  <c r="AE10" i="20" s="1"/>
  <c r="Q10" i="20"/>
  <c r="O10" i="20"/>
  <c r="N10" i="20"/>
  <c r="L10" i="20"/>
  <c r="I10" i="20"/>
  <c r="P10" i="20" s="1"/>
  <c r="R10" i="20" s="1"/>
  <c r="W10" i="20" s="1"/>
  <c r="Y10" i="20" s="1"/>
  <c r="G10" i="20"/>
  <c r="AD9" i="20"/>
  <c r="AB9" i="20"/>
  <c r="AA9" i="20"/>
  <c r="AC9" i="20" s="1"/>
  <c r="AE9" i="20" s="1"/>
  <c r="Q9" i="20"/>
  <c r="O9" i="20"/>
  <c r="N9" i="20"/>
  <c r="L9" i="20"/>
  <c r="I9" i="20"/>
  <c r="P9" i="20" s="1"/>
  <c r="R9" i="20" s="1"/>
  <c r="G9" i="20"/>
  <c r="AD8" i="20"/>
  <c r="AC8" i="20"/>
  <c r="AE8" i="20" s="1"/>
  <c r="AB8" i="20"/>
  <c r="AA8" i="20"/>
  <c r="Q8" i="20"/>
  <c r="O8" i="20"/>
  <c r="N8" i="20"/>
  <c r="L8" i="20"/>
  <c r="I8" i="20"/>
  <c r="P8" i="20" s="1"/>
  <c r="R8" i="20" s="1"/>
  <c r="W8" i="20" s="1"/>
  <c r="Y8" i="20" s="1"/>
  <c r="G8" i="20"/>
  <c r="AD7" i="20"/>
  <c r="AB7" i="20"/>
  <c r="AA7" i="20"/>
  <c r="AC7" i="20" s="1"/>
  <c r="AE7" i="20" s="1"/>
  <c r="Q7" i="20"/>
  <c r="O7" i="20"/>
  <c r="N7" i="20"/>
  <c r="L7" i="20"/>
  <c r="I7" i="20"/>
  <c r="G7" i="20"/>
  <c r="AD6" i="20"/>
  <c r="AB6" i="20"/>
  <c r="AA6" i="20"/>
  <c r="AC6" i="20" s="1"/>
  <c r="AE6" i="20" s="1"/>
  <c r="Q6" i="20"/>
  <c r="O6" i="20"/>
  <c r="N6" i="20"/>
  <c r="L6" i="20"/>
  <c r="I6" i="20"/>
  <c r="J6" i="20" s="1"/>
  <c r="G6" i="20"/>
  <c r="AD5" i="20"/>
  <c r="AC5" i="20"/>
  <c r="AE5" i="20" s="1"/>
  <c r="AB5" i="20"/>
  <c r="AA5" i="20"/>
  <c r="Q5" i="20"/>
  <c r="O5" i="20"/>
  <c r="N5" i="20"/>
  <c r="L5" i="20"/>
  <c r="I5" i="20"/>
  <c r="K5" i="20" s="1"/>
  <c r="G5" i="20"/>
  <c r="AD4" i="20"/>
  <c r="AB4" i="20"/>
  <c r="AA4" i="20"/>
  <c r="AC4" i="20" s="1"/>
  <c r="AE4" i="20" s="1"/>
  <c r="Q4" i="20"/>
  <c r="O4" i="20"/>
  <c r="N4" i="20"/>
  <c r="L4" i="20"/>
  <c r="I4" i="20"/>
  <c r="P4" i="20" s="1"/>
  <c r="R4" i="20" s="1"/>
  <c r="W4" i="20" s="1"/>
  <c r="Y4" i="20" s="1"/>
  <c r="G4" i="20"/>
  <c r="AD3" i="20"/>
  <c r="AC3" i="20"/>
  <c r="AE3" i="20" s="1"/>
  <c r="AB3" i="20"/>
  <c r="AA3" i="20"/>
  <c r="Q3" i="20"/>
  <c r="O3" i="20"/>
  <c r="N3" i="20"/>
  <c r="L3" i="20"/>
  <c r="I3" i="20"/>
  <c r="J3" i="20" s="1"/>
  <c r="G3" i="20"/>
  <c r="AD2" i="20"/>
  <c r="AC2" i="20"/>
  <c r="AE2" i="20" s="1"/>
  <c r="AB2" i="20"/>
  <c r="AA2" i="20"/>
  <c r="Q2" i="20"/>
  <c r="R2" i="20" s="1"/>
  <c r="W2" i="20" s="1"/>
  <c r="Y2" i="20" s="1"/>
  <c r="O2" i="20"/>
  <c r="N2" i="20"/>
  <c r="L2" i="20"/>
  <c r="I2" i="20"/>
  <c r="P2" i="20" s="1"/>
  <c r="G2" i="20"/>
  <c r="AF11" i="20" l="1"/>
  <c r="AG11" i="20" s="1"/>
  <c r="AF40" i="20"/>
  <c r="AG40" i="20" s="1"/>
  <c r="J15" i="20"/>
  <c r="P33" i="20"/>
  <c r="R33" i="20" s="1"/>
  <c r="W33" i="20" s="1"/>
  <c r="Y33" i="20" s="1"/>
  <c r="J8" i="20"/>
  <c r="P23" i="20"/>
  <c r="R23" i="20" s="1"/>
  <c r="AF14" i="20"/>
  <c r="AG14" i="20" s="1"/>
  <c r="S36" i="20"/>
  <c r="AF22" i="20"/>
  <c r="AG22" i="20" s="1"/>
  <c r="S47" i="20"/>
  <c r="T47" i="20" s="1"/>
  <c r="U47" i="20" s="1"/>
  <c r="V47" i="20" s="1"/>
  <c r="K52" i="20"/>
  <c r="S43" i="20"/>
  <c r="T43" i="20" s="1"/>
  <c r="U43" i="20" s="1"/>
  <c r="V43" i="20" s="1"/>
  <c r="J33" i="20"/>
  <c r="K9" i="20"/>
  <c r="K34" i="20"/>
  <c r="AF50" i="20"/>
  <c r="AG50" i="20" s="1"/>
  <c r="AF28" i="20"/>
  <c r="AG28" i="20" s="1"/>
  <c r="AF46" i="20"/>
  <c r="AG46" i="20" s="1"/>
  <c r="K56" i="20"/>
  <c r="P5" i="20"/>
  <c r="R5" i="20" s="1"/>
  <c r="W5" i="20" s="1"/>
  <c r="Y5" i="20" s="1"/>
  <c r="K4" i="20"/>
  <c r="K22" i="20"/>
  <c r="S16" i="20"/>
  <c r="T16" i="20" s="1"/>
  <c r="U16" i="20" s="1"/>
  <c r="V16" i="20" s="1"/>
  <c r="S27" i="20"/>
  <c r="S9" i="20"/>
  <c r="T9" i="20" s="1"/>
  <c r="U9" i="20" s="1"/>
  <c r="V9" i="20" s="1"/>
  <c r="S19" i="20"/>
  <c r="T19" i="20" s="1"/>
  <c r="U19" i="20" s="1"/>
  <c r="V19" i="20" s="1"/>
  <c r="J47" i="20"/>
  <c r="S7" i="20"/>
  <c r="S12" i="20"/>
  <c r="T12" i="20" s="1"/>
  <c r="U12" i="20" s="1"/>
  <c r="V12" i="20" s="1"/>
  <c r="R14" i="20"/>
  <c r="W14" i="20" s="1"/>
  <c r="Y14" i="20" s="1"/>
  <c r="S23" i="20"/>
  <c r="T23" i="20" s="1"/>
  <c r="U23" i="20" s="1"/>
  <c r="V23" i="20" s="1"/>
  <c r="S25" i="20"/>
  <c r="S26" i="20"/>
  <c r="R32" i="20"/>
  <c r="W32" i="20" s="1"/>
  <c r="Y32" i="20" s="1"/>
  <c r="R36" i="20"/>
  <c r="W36" i="20" s="1"/>
  <c r="Y36" i="20" s="1"/>
  <c r="P37" i="20"/>
  <c r="R37" i="20" s="1"/>
  <c r="W37" i="20" s="1"/>
  <c r="Y37" i="20" s="1"/>
  <c r="P41" i="20"/>
  <c r="K47" i="20"/>
  <c r="S56" i="20"/>
  <c r="T56" i="20" s="1"/>
  <c r="U56" i="20" s="1"/>
  <c r="V56" i="20" s="1"/>
  <c r="T36" i="20"/>
  <c r="U36" i="20" s="1"/>
  <c r="V36" i="20" s="1"/>
  <c r="J27" i="20"/>
  <c r="P27" i="20"/>
  <c r="R27" i="20" s="1"/>
  <c r="W27" i="20" s="1"/>
  <c r="Y27" i="20" s="1"/>
  <c r="J40" i="20"/>
  <c r="S30" i="20"/>
  <c r="T30" i="20" s="1"/>
  <c r="U30" i="20" s="1"/>
  <c r="V30" i="20" s="1"/>
  <c r="S34" i="20"/>
  <c r="T34" i="20" s="1"/>
  <c r="U34" i="20" s="1"/>
  <c r="V34" i="20" s="1"/>
  <c r="AF42" i="20"/>
  <c r="AG42" i="20" s="1"/>
  <c r="S8" i="20"/>
  <c r="T8" i="20" s="1"/>
  <c r="U8" i="20" s="1"/>
  <c r="V8" i="20" s="1"/>
  <c r="S15" i="20"/>
  <c r="T15" i="20" s="1"/>
  <c r="U15" i="20" s="1"/>
  <c r="V15" i="20" s="1"/>
  <c r="R21" i="20"/>
  <c r="W21" i="20" s="1"/>
  <c r="Y21" i="20" s="1"/>
  <c r="AF30" i="20"/>
  <c r="AG30" i="20" s="1"/>
  <c r="S33" i="20"/>
  <c r="K36" i="20"/>
  <c r="S52" i="20"/>
  <c r="T52" i="20" s="1"/>
  <c r="U52" i="20" s="1"/>
  <c r="V52" i="20" s="1"/>
  <c r="P55" i="20"/>
  <c r="AF21" i="20"/>
  <c r="AG21" i="20" s="1"/>
  <c r="AF10" i="20"/>
  <c r="AG10" i="20" s="1"/>
  <c r="P19" i="20"/>
  <c r="R19" i="20" s="1"/>
  <c r="W19" i="20" s="1"/>
  <c r="Y19" i="20" s="1"/>
  <c r="AF55" i="20"/>
  <c r="AG55" i="20" s="1"/>
  <c r="S35" i="20"/>
  <c r="AF54" i="20"/>
  <c r="AG54" i="20" s="1"/>
  <c r="K41" i="20"/>
  <c r="K48" i="20"/>
  <c r="J55" i="20"/>
  <c r="S5" i="20"/>
  <c r="J51" i="20"/>
  <c r="S4" i="20"/>
  <c r="AF12" i="20"/>
  <c r="AG12" i="20" s="1"/>
  <c r="AF26" i="20"/>
  <c r="AG26" i="20" s="1"/>
  <c r="S37" i="20"/>
  <c r="T37" i="20" s="1"/>
  <c r="U37" i="20" s="1"/>
  <c r="V37" i="20" s="1"/>
  <c r="S41" i="20"/>
  <c r="S48" i="20"/>
  <c r="T48" i="20" s="1"/>
  <c r="U48" i="20" s="1"/>
  <c r="V48" i="20" s="1"/>
  <c r="P51" i="20"/>
  <c r="R51" i="20" s="1"/>
  <c r="W51" i="20" s="1"/>
  <c r="Y51" i="20" s="1"/>
  <c r="R54" i="20"/>
  <c r="W54" i="20" s="1"/>
  <c r="Y54" i="20" s="1"/>
  <c r="AF56" i="20"/>
  <c r="AG56" i="20" s="1"/>
  <c r="S22" i="20"/>
  <c r="T22" i="20" s="1"/>
  <c r="U22" i="20" s="1"/>
  <c r="V22" i="20" s="1"/>
  <c r="S29" i="20"/>
  <c r="T29" i="20" s="1"/>
  <c r="U29" i="20" s="1"/>
  <c r="V29" i="20" s="1"/>
  <c r="S39" i="20"/>
  <c r="R43" i="20"/>
  <c r="W43" i="20" s="1"/>
  <c r="Y43" i="20" s="1"/>
  <c r="R50" i="20"/>
  <c r="W50" i="20" s="1"/>
  <c r="Y50" i="20" s="1"/>
  <c r="AF52" i="20"/>
  <c r="AG52" i="20" s="1"/>
  <c r="S55" i="20"/>
  <c r="K16" i="20"/>
  <c r="J34" i="20"/>
  <c r="AF36" i="20"/>
  <c r="AG36" i="20" s="1"/>
  <c r="AF9" i="20"/>
  <c r="AG9" i="20" s="1"/>
  <c r="J22" i="20"/>
  <c r="AF4" i="20"/>
  <c r="AG4" i="20" s="1"/>
  <c r="S11" i="20"/>
  <c r="T11" i="20" s="1"/>
  <c r="U11" i="20" s="1"/>
  <c r="V11" i="20" s="1"/>
  <c r="R28" i="20"/>
  <c r="W28" i="20" s="1"/>
  <c r="Y28" i="20" s="1"/>
  <c r="S40" i="20"/>
  <c r="T40" i="20" s="1"/>
  <c r="U40" i="20" s="1"/>
  <c r="V40" i="20" s="1"/>
  <c r="S44" i="20"/>
  <c r="T44" i="20" s="1"/>
  <c r="U44" i="20" s="1"/>
  <c r="V44" i="20" s="1"/>
  <c r="R46" i="20"/>
  <c r="W46" i="20" s="1"/>
  <c r="Y46" i="20" s="1"/>
  <c r="AF48" i="20"/>
  <c r="AG48" i="20" s="1"/>
  <c r="S51" i="20"/>
  <c r="S2" i="20"/>
  <c r="T2" i="20" s="1"/>
  <c r="U2" i="20" s="1"/>
  <c r="V2" i="20" s="1"/>
  <c r="AF2" i="20"/>
  <c r="AG2" i="20" s="1"/>
  <c r="J2" i="20"/>
  <c r="K2" i="20"/>
  <c r="P20" i="20"/>
  <c r="R20" i="20" s="1"/>
  <c r="W20" i="20" s="1"/>
  <c r="Y20" i="20" s="1"/>
  <c r="S20" i="20"/>
  <c r="T26" i="20"/>
  <c r="U26" i="20" s="1"/>
  <c r="V26" i="20" s="1"/>
  <c r="J20" i="20"/>
  <c r="J9" i="20"/>
  <c r="K20" i="20"/>
  <c r="P13" i="20"/>
  <c r="R13" i="20" s="1"/>
  <c r="W13" i="20" s="1"/>
  <c r="Y13" i="20" s="1"/>
  <c r="S13" i="20"/>
  <c r="T13" i="20" s="1"/>
  <c r="U13" i="20" s="1"/>
  <c r="V13" i="20" s="1"/>
  <c r="J13" i="20"/>
  <c r="K13" i="20"/>
  <c r="AE16" i="20"/>
  <c r="AF16" i="20" s="1"/>
  <c r="AG16" i="20" s="1"/>
  <c r="W9" i="20"/>
  <c r="Y9" i="20" s="1"/>
  <c r="P24" i="20"/>
  <c r="R24" i="20" s="1"/>
  <c r="W24" i="20" s="1"/>
  <c r="Y24" i="20" s="1"/>
  <c r="S24" i="20"/>
  <c r="T24" i="20" s="1"/>
  <c r="U24" i="20" s="1"/>
  <c r="V24" i="20" s="1"/>
  <c r="K24" i="20"/>
  <c r="J24" i="20"/>
  <c r="T5" i="20"/>
  <c r="U5" i="20" s="1"/>
  <c r="V5" i="20" s="1"/>
  <c r="S17" i="20"/>
  <c r="J17" i="20"/>
  <c r="P17" i="20"/>
  <c r="R17" i="20" s="1"/>
  <c r="W17" i="20" s="1"/>
  <c r="Y17" i="20" s="1"/>
  <c r="K17" i="20"/>
  <c r="W23" i="20"/>
  <c r="Y23" i="20" s="1"/>
  <c r="AF38" i="20"/>
  <c r="AG38" i="20" s="1"/>
  <c r="R55" i="20"/>
  <c r="W55" i="20" s="1"/>
  <c r="Y55" i="20" s="1"/>
  <c r="AF29" i="20"/>
  <c r="AG29" i="20" s="1"/>
  <c r="S31" i="20"/>
  <c r="K31" i="20"/>
  <c r="P31" i="20"/>
  <c r="R31" i="20" s="1"/>
  <c r="W31" i="20" s="1"/>
  <c r="Y31" i="20" s="1"/>
  <c r="T33" i="20"/>
  <c r="U33" i="20" s="1"/>
  <c r="V33" i="20" s="1"/>
  <c r="AF47" i="20"/>
  <c r="AG47" i="20" s="1"/>
  <c r="P38" i="20"/>
  <c r="R38" i="20" s="1"/>
  <c r="W38" i="20" s="1"/>
  <c r="Y38" i="20" s="1"/>
  <c r="S38" i="20"/>
  <c r="T38" i="20" s="1"/>
  <c r="U38" i="20" s="1"/>
  <c r="V38" i="20" s="1"/>
  <c r="K38" i="20"/>
  <c r="J38" i="20"/>
  <c r="AF15" i="20"/>
  <c r="AG15" i="20" s="1"/>
  <c r="S45" i="20"/>
  <c r="K45" i="20"/>
  <c r="P45" i="20"/>
  <c r="R45" i="20" s="1"/>
  <c r="W45" i="20" s="1"/>
  <c r="Y45" i="20" s="1"/>
  <c r="P6" i="20"/>
  <c r="R6" i="20" s="1"/>
  <c r="W6" i="20" s="1"/>
  <c r="Y6" i="20" s="1"/>
  <c r="K6" i="20"/>
  <c r="S6" i="20"/>
  <c r="T6" i="20" s="1"/>
  <c r="U6" i="20" s="1"/>
  <c r="V6" i="20" s="1"/>
  <c r="J31" i="20"/>
  <c r="T4" i="20"/>
  <c r="U4" i="20" s="1"/>
  <c r="V4" i="20" s="1"/>
  <c r="AF43" i="20"/>
  <c r="AG43" i="20" s="1"/>
  <c r="AF33" i="20"/>
  <c r="AG33" i="20" s="1"/>
  <c r="AE34" i="20"/>
  <c r="AF34" i="20" s="1"/>
  <c r="AG34" i="20" s="1"/>
  <c r="J35" i="20"/>
  <c r="K35" i="20"/>
  <c r="J7" i="20"/>
  <c r="J14" i="20"/>
  <c r="K39" i="20"/>
  <c r="K46" i="20"/>
  <c r="J11" i="20"/>
  <c r="J18" i="20"/>
  <c r="K32" i="20"/>
  <c r="J43" i="20"/>
  <c r="P49" i="20"/>
  <c r="R49" i="20" s="1"/>
  <c r="W49" i="20" s="1"/>
  <c r="Y49" i="20" s="1"/>
  <c r="K50" i="20"/>
  <c r="P53" i="20"/>
  <c r="R53" i="20" s="1"/>
  <c r="W53" i="20" s="1"/>
  <c r="Y53" i="20" s="1"/>
  <c r="K54" i="20"/>
  <c r="J54" i="20"/>
  <c r="K25" i="20"/>
  <c r="P3" i="20"/>
  <c r="R3" i="20" s="1"/>
  <c r="W3" i="20" s="1"/>
  <c r="Y3" i="20" s="1"/>
  <c r="J4" i="20"/>
  <c r="K11" i="20"/>
  <c r="K18" i="20"/>
  <c r="J29" i="20"/>
  <c r="P35" i="20"/>
  <c r="R35" i="20" s="1"/>
  <c r="W35" i="20" s="1"/>
  <c r="Y35" i="20" s="1"/>
  <c r="J36" i="20"/>
  <c r="K43" i="20"/>
  <c r="J49" i="20"/>
  <c r="K29" i="20"/>
  <c r="J42" i="20"/>
  <c r="J53" i="20"/>
  <c r="K3" i="20"/>
  <c r="J21" i="20"/>
  <c r="K21" i="20"/>
  <c r="K14" i="20"/>
  <c r="P39" i="20"/>
  <c r="R39" i="20" s="1"/>
  <c r="W39" i="20" s="1"/>
  <c r="Y39" i="20" s="1"/>
  <c r="S53" i="20"/>
  <c r="S3" i="20"/>
  <c r="K8" i="20"/>
  <c r="J19" i="20"/>
  <c r="P25" i="20"/>
  <c r="R25" i="20" s="1"/>
  <c r="J26" i="20"/>
  <c r="S28" i="20"/>
  <c r="K40" i="20"/>
  <c r="K42" i="20"/>
  <c r="K7" i="20"/>
  <c r="J32" i="20"/>
  <c r="J50" i="20"/>
  <c r="AF8" i="20"/>
  <c r="AG8" i="20" s="1"/>
  <c r="S42" i="20"/>
  <c r="T42" i="20" s="1"/>
  <c r="U42" i="20" s="1"/>
  <c r="V42" i="20" s="1"/>
  <c r="J5" i="20"/>
  <c r="J12" i="20"/>
  <c r="S14" i="20"/>
  <c r="T14" i="20" s="1"/>
  <c r="U14" i="20" s="1"/>
  <c r="V14" i="20" s="1"/>
  <c r="S21" i="20"/>
  <c r="T21" i="20" s="1"/>
  <c r="U21" i="20" s="1"/>
  <c r="V21" i="20" s="1"/>
  <c r="K26" i="20"/>
  <c r="J37" i="20"/>
  <c r="J44" i="20"/>
  <c r="S46" i="20"/>
  <c r="J10" i="20"/>
  <c r="K10" i="20"/>
  <c r="J28" i="20"/>
  <c r="J39" i="20"/>
  <c r="J46" i="20"/>
  <c r="P7" i="20"/>
  <c r="R7" i="20" s="1"/>
  <c r="W7" i="20" s="1"/>
  <c r="Y7" i="20" s="1"/>
  <c r="S10" i="20"/>
  <c r="T10" i="20" s="1"/>
  <c r="U10" i="20" s="1"/>
  <c r="V10" i="20" s="1"/>
  <c r="S49" i="20"/>
  <c r="T49" i="20" s="1"/>
  <c r="U49" i="20" s="1"/>
  <c r="V49" i="20" s="1"/>
  <c r="K12" i="20"/>
  <c r="J23" i="20"/>
  <c r="J30" i="20"/>
  <c r="S32" i="20"/>
  <c r="T32" i="20" s="1"/>
  <c r="U32" i="20" s="1"/>
  <c r="V32" i="20" s="1"/>
  <c r="K44" i="20"/>
  <c r="S50" i="20"/>
  <c r="T50" i="20" s="1"/>
  <c r="U50" i="20" s="1"/>
  <c r="V50" i="20" s="1"/>
  <c r="S54" i="20"/>
  <c r="K28" i="20"/>
  <c r="J25" i="20"/>
  <c r="J16" i="20"/>
  <c r="S18" i="20"/>
  <c r="T18" i="20" s="1"/>
  <c r="U18" i="20" s="1"/>
  <c r="V18" i="20" s="1"/>
  <c r="K30" i="20"/>
  <c r="J48" i="20"/>
  <c r="J52" i="20"/>
  <c r="J56" i="20"/>
  <c r="T20" i="20" l="1"/>
  <c r="U20" i="20" s="1"/>
  <c r="V20" i="20" s="1"/>
  <c r="T27" i="20"/>
  <c r="U27" i="20" s="1"/>
  <c r="V27" i="20" s="1"/>
  <c r="AF19" i="20"/>
  <c r="AG19" i="20" s="1"/>
  <c r="AF13" i="20"/>
  <c r="AG13" i="20" s="1"/>
  <c r="AF23" i="20"/>
  <c r="AG23" i="20" s="1"/>
  <c r="AF5" i="20"/>
  <c r="AG5" i="20" s="1"/>
  <c r="T35" i="20"/>
  <c r="U35" i="20" s="1"/>
  <c r="V35" i="20" s="1"/>
  <c r="T31" i="20"/>
  <c r="U31" i="20" s="1"/>
  <c r="V31" i="20" s="1"/>
  <c r="AF37" i="20"/>
  <c r="AG37" i="20" s="1"/>
  <c r="AF35" i="20"/>
  <c r="AG35" i="20" s="1"/>
  <c r="AF20" i="20"/>
  <c r="AG20" i="20" s="1"/>
  <c r="AF51" i="20"/>
  <c r="AG51" i="20" s="1"/>
  <c r="T17" i="20"/>
  <c r="U17" i="20" s="1"/>
  <c r="V17" i="20" s="1"/>
  <c r="AF17" i="20"/>
  <c r="AG17" i="20" s="1"/>
  <c r="T51" i="20"/>
  <c r="U51" i="20" s="1"/>
  <c r="V51" i="20" s="1"/>
  <c r="R41" i="20"/>
  <c r="W41" i="20" s="1"/>
  <c r="Y41" i="20" s="1"/>
  <c r="AF41" i="20"/>
  <c r="AG41" i="20" s="1"/>
  <c r="AF27" i="20"/>
  <c r="AG27" i="20" s="1"/>
  <c r="T28" i="20"/>
  <c r="U28" i="20" s="1"/>
  <c r="V28" i="20" s="1"/>
  <c r="T46" i="20"/>
  <c r="U46" i="20" s="1"/>
  <c r="V46" i="20" s="1"/>
  <c r="T54" i="20"/>
  <c r="U54" i="20" s="1"/>
  <c r="V54" i="20" s="1"/>
  <c r="T45" i="20"/>
  <c r="U45" i="20" s="1"/>
  <c r="V45" i="20" s="1"/>
  <c r="T7" i="20"/>
  <c r="U7" i="20" s="1"/>
  <c r="V7" i="20" s="1"/>
  <c r="T55" i="20"/>
  <c r="U55" i="20" s="1"/>
  <c r="V55" i="20" s="1"/>
  <c r="AF7" i="20"/>
  <c r="AG7" i="20" s="1"/>
  <c r="AF49" i="20"/>
  <c r="AG49" i="20" s="1"/>
  <c r="W25" i="20"/>
  <c r="Y25" i="20" s="1"/>
  <c r="T25" i="20"/>
  <c r="U25" i="20" s="1"/>
  <c r="V25" i="20" s="1"/>
  <c r="AF39" i="20"/>
  <c r="AG39" i="20" s="1"/>
  <c r="AF53" i="20"/>
  <c r="AG53" i="20" s="1"/>
  <c r="T39" i="20"/>
  <c r="U39" i="20" s="1"/>
  <c r="V39" i="20" s="1"/>
  <c r="AF25" i="20"/>
  <c r="AG25" i="20" s="1"/>
  <c r="AF45" i="20"/>
  <c r="AG45" i="20" s="1"/>
  <c r="AF3" i="20"/>
  <c r="AG3" i="20" s="1"/>
  <c r="AF24" i="20"/>
  <c r="AG24" i="20" s="1"/>
  <c r="T3" i="20"/>
  <c r="U3" i="20" s="1"/>
  <c r="V3" i="20" s="1"/>
  <c r="AF31" i="20"/>
  <c r="AG31" i="20" s="1"/>
  <c r="T53" i="20"/>
  <c r="U53" i="20" s="1"/>
  <c r="V53" i="20" s="1"/>
  <c r="AF6" i="20"/>
  <c r="AG6" i="20" s="1"/>
  <c r="T41" i="20" l="1"/>
  <c r="U41" i="20" s="1"/>
  <c r="V41" i="20" s="1"/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2" i="3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" i="16"/>
  <c r="Y2" i="18"/>
  <c r="Z2" i="18"/>
  <c r="AA2" i="18"/>
  <c r="AB2" i="18"/>
  <c r="AC2" i="18"/>
  <c r="AD2" i="18"/>
  <c r="AE2" i="18"/>
  <c r="AF2" i="18" s="1"/>
  <c r="AG2" i="18" s="1"/>
  <c r="Z3" i="18"/>
  <c r="Z4" i="18"/>
  <c r="Z5" i="18"/>
  <c r="Z6" i="18"/>
  <c r="Z7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AE67" i="3"/>
  <c r="AC67" i="3"/>
  <c r="AB67" i="3"/>
  <c r="AD67" i="3" s="1"/>
  <c r="Q67" i="3"/>
  <c r="O67" i="3"/>
  <c r="N67" i="3"/>
  <c r="L67" i="3"/>
  <c r="I67" i="3"/>
  <c r="P67" i="3" s="1"/>
  <c r="G67" i="3"/>
  <c r="AE66" i="3"/>
  <c r="AC66" i="3"/>
  <c r="AB66" i="3"/>
  <c r="AD66" i="3" s="1"/>
  <c r="Q66" i="3"/>
  <c r="O66" i="3"/>
  <c r="N66" i="3"/>
  <c r="L66" i="3"/>
  <c r="I66" i="3"/>
  <c r="G66" i="3"/>
  <c r="AE65" i="3"/>
  <c r="AC65" i="3"/>
  <c r="AB65" i="3"/>
  <c r="AD65" i="3" s="1"/>
  <c r="Q65" i="3"/>
  <c r="O65" i="3"/>
  <c r="N65" i="3"/>
  <c r="L65" i="3"/>
  <c r="I65" i="3"/>
  <c r="P65" i="3" s="1"/>
  <c r="G65" i="3"/>
  <c r="AE64" i="3"/>
  <c r="AC64" i="3"/>
  <c r="AB64" i="3"/>
  <c r="AD64" i="3" s="1"/>
  <c r="AF64" i="3" s="1"/>
  <c r="Q64" i="3"/>
  <c r="O64" i="3"/>
  <c r="N64" i="3"/>
  <c r="L64" i="3"/>
  <c r="I64" i="3"/>
  <c r="G64" i="3"/>
  <c r="AE63" i="3"/>
  <c r="AC63" i="3"/>
  <c r="AB63" i="3"/>
  <c r="AD63" i="3" s="1"/>
  <c r="Q63" i="3"/>
  <c r="O63" i="3"/>
  <c r="N63" i="3"/>
  <c r="L63" i="3"/>
  <c r="I63" i="3"/>
  <c r="P63" i="3" s="1"/>
  <c r="G63" i="3"/>
  <c r="AE62" i="3"/>
  <c r="AC62" i="3"/>
  <c r="AB62" i="3"/>
  <c r="AD62" i="3" s="1"/>
  <c r="Q62" i="3"/>
  <c r="O62" i="3"/>
  <c r="N62" i="3"/>
  <c r="L62" i="3"/>
  <c r="I62" i="3"/>
  <c r="G62" i="3"/>
  <c r="AE61" i="3"/>
  <c r="AC61" i="3"/>
  <c r="AB61" i="3"/>
  <c r="AD61" i="3" s="1"/>
  <c r="Q61" i="3"/>
  <c r="O61" i="3"/>
  <c r="N61" i="3"/>
  <c r="L61" i="3"/>
  <c r="I61" i="3"/>
  <c r="P61" i="3" s="1"/>
  <c r="G61" i="3"/>
  <c r="S61" i="3" s="1"/>
  <c r="AE60" i="3"/>
  <c r="AC60" i="3"/>
  <c r="AB60" i="3"/>
  <c r="AD60" i="3" s="1"/>
  <c r="Q60" i="3"/>
  <c r="O60" i="3"/>
  <c r="N60" i="3"/>
  <c r="L60" i="3"/>
  <c r="I60" i="3"/>
  <c r="P60" i="3" s="1"/>
  <c r="G60" i="3"/>
  <c r="AE59" i="3"/>
  <c r="AC59" i="3"/>
  <c r="AB59" i="3"/>
  <c r="AD59" i="3" s="1"/>
  <c r="Q59" i="3"/>
  <c r="O59" i="3"/>
  <c r="N59" i="3"/>
  <c r="L59" i="3"/>
  <c r="I59" i="3"/>
  <c r="P59" i="3" s="1"/>
  <c r="R59" i="3" s="1"/>
  <c r="G59" i="3"/>
  <c r="AE58" i="3"/>
  <c r="AC58" i="3"/>
  <c r="AB58" i="3"/>
  <c r="AD58" i="3" s="1"/>
  <c r="Q58" i="3"/>
  <c r="O58" i="3"/>
  <c r="N58" i="3"/>
  <c r="L58" i="3"/>
  <c r="I58" i="3"/>
  <c r="G58" i="3"/>
  <c r="AE57" i="3"/>
  <c r="AC57" i="3"/>
  <c r="AB57" i="3"/>
  <c r="AD57" i="3" s="1"/>
  <c r="AF57" i="3" s="1"/>
  <c r="Q57" i="3"/>
  <c r="O57" i="3"/>
  <c r="N57" i="3"/>
  <c r="L57" i="3"/>
  <c r="I57" i="3"/>
  <c r="P57" i="3" s="1"/>
  <c r="G57" i="3"/>
  <c r="AE56" i="3"/>
  <c r="AC56" i="3"/>
  <c r="AB56" i="3"/>
  <c r="AD56" i="3" s="1"/>
  <c r="Q56" i="3"/>
  <c r="O56" i="3"/>
  <c r="N56" i="3"/>
  <c r="L56" i="3"/>
  <c r="I56" i="3"/>
  <c r="P56" i="3" s="1"/>
  <c r="G56" i="3"/>
  <c r="AE55" i="3"/>
  <c r="AC55" i="3"/>
  <c r="AB55" i="3"/>
  <c r="AD55" i="3" s="1"/>
  <c r="AF55" i="3" s="1"/>
  <c r="Q55" i="3"/>
  <c r="O55" i="3"/>
  <c r="N55" i="3"/>
  <c r="L55" i="3"/>
  <c r="I55" i="3"/>
  <c r="G55" i="3"/>
  <c r="AE54" i="3"/>
  <c r="AC54" i="3"/>
  <c r="AB54" i="3"/>
  <c r="AD54" i="3" s="1"/>
  <c r="AF54" i="3" s="1"/>
  <c r="Q54" i="3"/>
  <c r="O54" i="3"/>
  <c r="N54" i="3"/>
  <c r="L54" i="3"/>
  <c r="I54" i="3"/>
  <c r="P54" i="3" s="1"/>
  <c r="G54" i="3"/>
  <c r="AE53" i="3"/>
  <c r="AC53" i="3"/>
  <c r="AB53" i="3"/>
  <c r="AD53" i="3" s="1"/>
  <c r="Q53" i="3"/>
  <c r="O53" i="3"/>
  <c r="N53" i="3"/>
  <c r="L53" i="3"/>
  <c r="I53" i="3"/>
  <c r="G53" i="3"/>
  <c r="AE52" i="3"/>
  <c r="AC52" i="3"/>
  <c r="AB52" i="3"/>
  <c r="AD52" i="3" s="1"/>
  <c r="AF52" i="3" s="1"/>
  <c r="Q52" i="3"/>
  <c r="O52" i="3"/>
  <c r="N52" i="3"/>
  <c r="L52" i="3"/>
  <c r="I52" i="3"/>
  <c r="P52" i="3" s="1"/>
  <c r="G52" i="3"/>
  <c r="AE51" i="3"/>
  <c r="AC51" i="3"/>
  <c r="AB51" i="3"/>
  <c r="AD51" i="3" s="1"/>
  <c r="Q51" i="3"/>
  <c r="O51" i="3"/>
  <c r="N51" i="3"/>
  <c r="L51" i="3"/>
  <c r="I51" i="3"/>
  <c r="G51" i="3"/>
  <c r="AE50" i="3"/>
  <c r="AC50" i="3"/>
  <c r="AB50" i="3"/>
  <c r="AD50" i="3" s="1"/>
  <c r="Q50" i="3"/>
  <c r="O50" i="3"/>
  <c r="N50" i="3"/>
  <c r="L50" i="3"/>
  <c r="I50" i="3"/>
  <c r="P50" i="3" s="1"/>
  <c r="R50" i="3" s="1"/>
  <c r="X50" i="3" s="1"/>
  <c r="Z50" i="3" s="1"/>
  <c r="G50" i="3"/>
  <c r="AE49" i="3"/>
  <c r="AC49" i="3"/>
  <c r="AB49" i="3"/>
  <c r="AD49" i="3" s="1"/>
  <c r="Q49" i="3"/>
  <c r="O49" i="3"/>
  <c r="N49" i="3"/>
  <c r="L49" i="3"/>
  <c r="I49" i="3"/>
  <c r="G49" i="3"/>
  <c r="AE48" i="3"/>
  <c r="AC48" i="3"/>
  <c r="AB48" i="3"/>
  <c r="AD48" i="3" s="1"/>
  <c r="AF48" i="3" s="1"/>
  <c r="Q48" i="3"/>
  <c r="O48" i="3"/>
  <c r="N48" i="3"/>
  <c r="L48" i="3"/>
  <c r="I48" i="3"/>
  <c r="P48" i="3" s="1"/>
  <c r="G48" i="3"/>
  <c r="AE47" i="3"/>
  <c r="AC47" i="3"/>
  <c r="AB47" i="3"/>
  <c r="AD47" i="3" s="1"/>
  <c r="AF47" i="3" s="1"/>
  <c r="Q47" i="3"/>
  <c r="O47" i="3"/>
  <c r="N47" i="3"/>
  <c r="L47" i="3"/>
  <c r="I47" i="3"/>
  <c r="P47" i="3" s="1"/>
  <c r="G47" i="3"/>
  <c r="AE46" i="3"/>
  <c r="AC46" i="3"/>
  <c r="AB46" i="3"/>
  <c r="AD46" i="3" s="1"/>
  <c r="Q46" i="3"/>
  <c r="O46" i="3"/>
  <c r="N46" i="3"/>
  <c r="L46" i="3"/>
  <c r="I46" i="3"/>
  <c r="P46" i="3" s="1"/>
  <c r="G46" i="3"/>
  <c r="AE45" i="3"/>
  <c r="AC45" i="3"/>
  <c r="AB45" i="3"/>
  <c r="AD45" i="3" s="1"/>
  <c r="AF45" i="3" s="1"/>
  <c r="Q45" i="3"/>
  <c r="O45" i="3"/>
  <c r="N45" i="3"/>
  <c r="L45" i="3"/>
  <c r="I45" i="3"/>
  <c r="P45" i="3" s="1"/>
  <c r="G45" i="3"/>
  <c r="AE44" i="3"/>
  <c r="AC44" i="3"/>
  <c r="AB44" i="3"/>
  <c r="AD44" i="3" s="1"/>
  <c r="Q44" i="3"/>
  <c r="O44" i="3"/>
  <c r="N44" i="3"/>
  <c r="L44" i="3"/>
  <c r="I44" i="3"/>
  <c r="K44" i="3" s="1"/>
  <c r="G44" i="3"/>
  <c r="AE43" i="3"/>
  <c r="AC43" i="3"/>
  <c r="AB43" i="3"/>
  <c r="AD43" i="3" s="1"/>
  <c r="Q43" i="3"/>
  <c r="O43" i="3"/>
  <c r="N43" i="3"/>
  <c r="L43" i="3"/>
  <c r="I43" i="3"/>
  <c r="P43" i="3" s="1"/>
  <c r="G43" i="3"/>
  <c r="AE42" i="3"/>
  <c r="AC42" i="3"/>
  <c r="AB42" i="3"/>
  <c r="AD42" i="3" s="1"/>
  <c r="Q42" i="3"/>
  <c r="O42" i="3"/>
  <c r="N42" i="3"/>
  <c r="L42" i="3"/>
  <c r="I42" i="3"/>
  <c r="G42" i="3"/>
  <c r="AE41" i="3"/>
  <c r="AC41" i="3"/>
  <c r="AB41" i="3"/>
  <c r="AD41" i="3" s="1"/>
  <c r="AF41" i="3" s="1"/>
  <c r="Q41" i="3"/>
  <c r="O41" i="3"/>
  <c r="N41" i="3"/>
  <c r="L41" i="3"/>
  <c r="I41" i="3"/>
  <c r="P41" i="3" s="1"/>
  <c r="G41" i="3"/>
  <c r="AE40" i="3"/>
  <c r="AC40" i="3"/>
  <c r="AB40" i="3"/>
  <c r="AD40" i="3" s="1"/>
  <c r="AF40" i="3" s="1"/>
  <c r="Q40" i="3"/>
  <c r="O40" i="3"/>
  <c r="N40" i="3"/>
  <c r="L40" i="3"/>
  <c r="I40" i="3"/>
  <c r="K40" i="3" s="1"/>
  <c r="G40" i="3"/>
  <c r="AE39" i="3"/>
  <c r="AC39" i="3"/>
  <c r="AB39" i="3"/>
  <c r="AD39" i="3" s="1"/>
  <c r="AF39" i="3" s="1"/>
  <c r="Q39" i="3"/>
  <c r="O39" i="3"/>
  <c r="N39" i="3"/>
  <c r="L39" i="3"/>
  <c r="I39" i="3"/>
  <c r="P39" i="3" s="1"/>
  <c r="G39" i="3"/>
  <c r="AE38" i="3"/>
  <c r="AC38" i="3"/>
  <c r="AB38" i="3"/>
  <c r="AD38" i="3" s="1"/>
  <c r="Q38" i="3"/>
  <c r="O38" i="3"/>
  <c r="N38" i="3"/>
  <c r="L38" i="3"/>
  <c r="I38" i="3"/>
  <c r="K38" i="3" s="1"/>
  <c r="G38" i="3"/>
  <c r="AE37" i="3"/>
  <c r="AC37" i="3"/>
  <c r="AB37" i="3"/>
  <c r="AD37" i="3" s="1"/>
  <c r="AF37" i="3" s="1"/>
  <c r="AG37" i="3" s="1"/>
  <c r="AH37" i="3" s="1"/>
  <c r="Q37" i="3"/>
  <c r="O37" i="3"/>
  <c r="N37" i="3"/>
  <c r="L37" i="3"/>
  <c r="I37" i="3"/>
  <c r="P37" i="3" s="1"/>
  <c r="G37" i="3"/>
  <c r="AE36" i="3"/>
  <c r="AC36" i="3"/>
  <c r="AB36" i="3"/>
  <c r="AD36" i="3" s="1"/>
  <c r="Q36" i="3"/>
  <c r="O36" i="3"/>
  <c r="N36" i="3"/>
  <c r="L36" i="3"/>
  <c r="I36" i="3"/>
  <c r="K36" i="3" s="1"/>
  <c r="G36" i="3"/>
  <c r="AE35" i="3"/>
  <c r="AC35" i="3"/>
  <c r="AB35" i="3"/>
  <c r="AD35" i="3" s="1"/>
  <c r="Q35" i="3"/>
  <c r="O35" i="3"/>
  <c r="N35" i="3"/>
  <c r="L35" i="3"/>
  <c r="I35" i="3"/>
  <c r="P35" i="3" s="1"/>
  <c r="G35" i="3"/>
  <c r="AE34" i="3"/>
  <c r="AC34" i="3"/>
  <c r="AB34" i="3"/>
  <c r="AD34" i="3" s="1"/>
  <c r="Q34" i="3"/>
  <c r="O34" i="3"/>
  <c r="N34" i="3"/>
  <c r="L34" i="3"/>
  <c r="I34" i="3"/>
  <c r="P34" i="3" s="1"/>
  <c r="G34" i="3"/>
  <c r="AE33" i="3"/>
  <c r="AC33" i="3"/>
  <c r="AB33" i="3"/>
  <c r="AD33" i="3" s="1"/>
  <c r="Q33" i="3"/>
  <c r="O33" i="3"/>
  <c r="N33" i="3"/>
  <c r="L33" i="3"/>
  <c r="I33" i="3"/>
  <c r="J33" i="3" s="1"/>
  <c r="G33" i="3"/>
  <c r="AE32" i="3"/>
  <c r="AC32" i="3"/>
  <c r="AB32" i="3"/>
  <c r="AD32" i="3" s="1"/>
  <c r="AF32" i="3" s="1"/>
  <c r="Q32" i="3"/>
  <c r="O32" i="3"/>
  <c r="N32" i="3"/>
  <c r="L32" i="3"/>
  <c r="I32" i="3"/>
  <c r="P32" i="3" s="1"/>
  <c r="G32" i="3"/>
  <c r="AE31" i="3"/>
  <c r="AC31" i="3"/>
  <c r="AB31" i="3"/>
  <c r="AD31" i="3" s="1"/>
  <c r="AF31" i="3" s="1"/>
  <c r="Q31" i="3"/>
  <c r="O31" i="3"/>
  <c r="N31" i="3"/>
  <c r="L31" i="3"/>
  <c r="I31" i="3"/>
  <c r="K31" i="3" s="1"/>
  <c r="G31" i="3"/>
  <c r="AE30" i="3"/>
  <c r="AC30" i="3"/>
  <c r="AB30" i="3"/>
  <c r="AD30" i="3" s="1"/>
  <c r="Q30" i="3"/>
  <c r="O30" i="3"/>
  <c r="N30" i="3"/>
  <c r="L30" i="3"/>
  <c r="I30" i="3"/>
  <c r="P30" i="3" s="1"/>
  <c r="G30" i="3"/>
  <c r="AE29" i="3"/>
  <c r="AC29" i="3"/>
  <c r="AB29" i="3"/>
  <c r="AD29" i="3" s="1"/>
  <c r="AF29" i="3" s="1"/>
  <c r="Q29" i="3"/>
  <c r="O29" i="3"/>
  <c r="N29" i="3"/>
  <c r="L29" i="3"/>
  <c r="I29" i="3"/>
  <c r="G29" i="3"/>
  <c r="AE28" i="3"/>
  <c r="AD28" i="3"/>
  <c r="AF28" i="3" s="1"/>
  <c r="AG28" i="3" s="1"/>
  <c r="AH28" i="3" s="1"/>
  <c r="AC28" i="3"/>
  <c r="AB28" i="3"/>
  <c r="Q28" i="3"/>
  <c r="O28" i="3"/>
  <c r="N28" i="3"/>
  <c r="L28" i="3"/>
  <c r="I28" i="3"/>
  <c r="P28" i="3" s="1"/>
  <c r="G28" i="3"/>
  <c r="AE27" i="3"/>
  <c r="AC27" i="3"/>
  <c r="AB27" i="3"/>
  <c r="AD27" i="3" s="1"/>
  <c r="Q27" i="3"/>
  <c r="O27" i="3"/>
  <c r="N27" i="3"/>
  <c r="L27" i="3"/>
  <c r="I27" i="3"/>
  <c r="K27" i="3" s="1"/>
  <c r="G27" i="3"/>
  <c r="AE26" i="3"/>
  <c r="AC26" i="3"/>
  <c r="AB26" i="3"/>
  <c r="AD26" i="3" s="1"/>
  <c r="Q26" i="3"/>
  <c r="O26" i="3"/>
  <c r="N26" i="3"/>
  <c r="L26" i="3"/>
  <c r="I26" i="3"/>
  <c r="P26" i="3" s="1"/>
  <c r="G26" i="3"/>
  <c r="AE25" i="3"/>
  <c r="AC25" i="3"/>
  <c r="AB25" i="3"/>
  <c r="AD25" i="3" s="1"/>
  <c r="AF25" i="3" s="1"/>
  <c r="Q25" i="3"/>
  <c r="O25" i="3"/>
  <c r="N25" i="3"/>
  <c r="L25" i="3"/>
  <c r="I25" i="3"/>
  <c r="G25" i="3"/>
  <c r="AE24" i="3"/>
  <c r="AC24" i="3"/>
  <c r="AB24" i="3"/>
  <c r="AD24" i="3" s="1"/>
  <c r="AF24" i="3" s="1"/>
  <c r="Q24" i="3"/>
  <c r="O24" i="3"/>
  <c r="N24" i="3"/>
  <c r="L24" i="3"/>
  <c r="I24" i="3"/>
  <c r="P24" i="3" s="1"/>
  <c r="R24" i="3" s="1"/>
  <c r="G24" i="3"/>
  <c r="G2" i="16"/>
  <c r="AG45" i="3" l="1"/>
  <c r="AH45" i="3" s="1"/>
  <c r="AF63" i="3"/>
  <c r="AG63" i="3" s="1"/>
  <c r="AH63" i="3" s="1"/>
  <c r="AF34" i="3"/>
  <c r="AG34" i="3" s="1"/>
  <c r="AH34" i="3" s="1"/>
  <c r="AG39" i="3"/>
  <c r="AH39" i="3" s="1"/>
  <c r="S52" i="3"/>
  <c r="AG52" i="3"/>
  <c r="AH52" i="3" s="1"/>
  <c r="S57" i="3"/>
  <c r="AG47" i="3"/>
  <c r="AH47" i="3" s="1"/>
  <c r="AG54" i="3"/>
  <c r="AH54" i="3" s="1"/>
  <c r="AG32" i="3"/>
  <c r="AH32" i="3" s="1"/>
  <c r="AG41" i="3"/>
  <c r="AH41" i="3" s="1"/>
  <c r="AG57" i="3"/>
  <c r="AH57" i="3" s="1"/>
  <c r="AF26" i="3"/>
  <c r="AG48" i="3"/>
  <c r="AH48" i="3" s="1"/>
  <c r="AG26" i="3"/>
  <c r="AH26" i="3" s="1"/>
  <c r="AG24" i="3"/>
  <c r="AH24" i="3" s="1"/>
  <c r="AF61" i="3"/>
  <c r="AG61" i="3" s="1"/>
  <c r="AH61" i="3" s="1"/>
  <c r="AF44" i="3"/>
  <c r="AF51" i="3"/>
  <c r="J66" i="3"/>
  <c r="AF30" i="3"/>
  <c r="AG30" i="3" s="1"/>
  <c r="AH30" i="3" s="1"/>
  <c r="AF38" i="3"/>
  <c r="J49" i="3"/>
  <c r="X59" i="3"/>
  <c r="Z59" i="3" s="1"/>
  <c r="X24" i="3"/>
  <c r="Z24" i="3" s="1"/>
  <c r="AF27" i="3"/>
  <c r="AF35" i="3"/>
  <c r="AG35" i="3" s="1"/>
  <c r="AH35" i="3" s="1"/>
  <c r="AF42" i="3"/>
  <c r="AF56" i="3"/>
  <c r="AG56" i="3" s="1"/>
  <c r="AH56" i="3" s="1"/>
  <c r="AF59" i="3"/>
  <c r="AG59" i="3" s="1"/>
  <c r="AH59" i="3" s="1"/>
  <c r="R67" i="3"/>
  <c r="X67" i="3" s="1"/>
  <c r="Z67" i="3" s="1"/>
  <c r="AF46" i="3"/>
  <c r="AG46" i="3" s="1"/>
  <c r="AH46" i="3" s="1"/>
  <c r="R45" i="3"/>
  <c r="X45" i="3" s="1"/>
  <c r="Z45" i="3" s="1"/>
  <c r="AF65" i="3"/>
  <c r="AG65" i="3" s="1"/>
  <c r="AH65" i="3" s="1"/>
  <c r="AF33" i="3"/>
  <c r="R32" i="3"/>
  <c r="X32" i="3" s="1"/>
  <c r="Z32" i="3" s="1"/>
  <c r="AF36" i="3"/>
  <c r="J64" i="3"/>
  <c r="AF67" i="3"/>
  <c r="AG67" i="3" s="1"/>
  <c r="AH67" i="3" s="1"/>
  <c r="AF43" i="3"/>
  <c r="AG43" i="3" s="1"/>
  <c r="AH43" i="3" s="1"/>
  <c r="AF50" i="3"/>
  <c r="AG50" i="3" s="1"/>
  <c r="AH50" i="3" s="1"/>
  <c r="R54" i="3"/>
  <c r="X54" i="3" s="1"/>
  <c r="Z54" i="3" s="1"/>
  <c r="AF60" i="3"/>
  <c r="AG60" i="3" s="1"/>
  <c r="AH60" i="3" s="1"/>
  <c r="S26" i="3"/>
  <c r="J43" i="3"/>
  <c r="S34" i="3"/>
  <c r="S43" i="3"/>
  <c r="S48" i="3"/>
  <c r="S39" i="3"/>
  <c r="R41" i="3"/>
  <c r="X41" i="3" s="1"/>
  <c r="Z41" i="3" s="1"/>
  <c r="R47" i="3"/>
  <c r="X47" i="3" s="1"/>
  <c r="Z47" i="3" s="1"/>
  <c r="S56" i="3"/>
  <c r="S30" i="3"/>
  <c r="S65" i="3"/>
  <c r="R63" i="3"/>
  <c r="X63" i="3" s="1"/>
  <c r="Z63" i="3" s="1"/>
  <c r="R28" i="3"/>
  <c r="X28" i="3" s="1"/>
  <c r="Z28" i="3" s="1"/>
  <c r="S35" i="3"/>
  <c r="R37" i="3"/>
  <c r="X37" i="3" s="1"/>
  <c r="Z37" i="3" s="1"/>
  <c r="K43" i="3"/>
  <c r="R46" i="3"/>
  <c r="X46" i="3" s="1"/>
  <c r="Z46" i="3" s="1"/>
  <c r="R60" i="3"/>
  <c r="X60" i="3" s="1"/>
  <c r="Z60" i="3" s="1"/>
  <c r="K59" i="3"/>
  <c r="J32" i="3"/>
  <c r="S46" i="3"/>
  <c r="T46" i="3" s="1"/>
  <c r="U46" i="3" s="1"/>
  <c r="W46" i="3" s="1"/>
  <c r="S50" i="3"/>
  <c r="T50" i="3" s="1"/>
  <c r="U50" i="3" s="1"/>
  <c r="W50" i="3" s="1"/>
  <c r="S53" i="3"/>
  <c r="S54" i="3"/>
  <c r="S58" i="3"/>
  <c r="S59" i="3"/>
  <c r="T59" i="3" s="1"/>
  <c r="U59" i="3" s="1"/>
  <c r="W59" i="3" s="1"/>
  <c r="S62" i="3"/>
  <c r="S63" i="3"/>
  <c r="S67" i="3"/>
  <c r="S51" i="3"/>
  <c r="S55" i="3"/>
  <c r="S29" i="3"/>
  <c r="K54" i="3"/>
  <c r="J24" i="3"/>
  <c r="J45" i="3"/>
  <c r="J50" i="3"/>
  <c r="J54" i="3"/>
  <c r="K28" i="3"/>
  <c r="K63" i="3"/>
  <c r="R48" i="3"/>
  <c r="X48" i="3" s="1"/>
  <c r="Z48" i="3" s="1"/>
  <c r="R52" i="3"/>
  <c r="X52" i="3" s="1"/>
  <c r="Z52" i="3" s="1"/>
  <c r="R56" i="3"/>
  <c r="X56" i="3" s="1"/>
  <c r="Z56" i="3" s="1"/>
  <c r="R57" i="3"/>
  <c r="X57" i="3" s="1"/>
  <c r="Z57" i="3" s="1"/>
  <c r="R61" i="3"/>
  <c r="X61" i="3" s="1"/>
  <c r="Z61" i="3" s="1"/>
  <c r="R65" i="3"/>
  <c r="X65" i="3" s="1"/>
  <c r="Z65" i="3" s="1"/>
  <c r="K67" i="3"/>
  <c r="J59" i="3"/>
  <c r="S24" i="3"/>
  <c r="T24" i="3" s="1"/>
  <c r="U24" i="3" s="1"/>
  <c r="W24" i="3" s="1"/>
  <c r="S28" i="3"/>
  <c r="S32" i="3"/>
  <c r="S37" i="3"/>
  <c r="S41" i="3"/>
  <c r="S45" i="3"/>
  <c r="K48" i="3"/>
  <c r="K52" i="3"/>
  <c r="K56" i="3"/>
  <c r="K57" i="3"/>
  <c r="K61" i="3"/>
  <c r="K65" i="3"/>
  <c r="K50" i="3"/>
  <c r="J28" i="3"/>
  <c r="J37" i="3"/>
  <c r="R26" i="3"/>
  <c r="X26" i="3" s="1"/>
  <c r="Z26" i="3" s="1"/>
  <c r="R30" i="3"/>
  <c r="X30" i="3" s="1"/>
  <c r="Z30" i="3" s="1"/>
  <c r="R34" i="3"/>
  <c r="X34" i="3" s="1"/>
  <c r="Z34" i="3" s="1"/>
  <c r="R35" i="3"/>
  <c r="X35" i="3" s="1"/>
  <c r="Z35" i="3" s="1"/>
  <c r="R39" i="3"/>
  <c r="X39" i="3" s="1"/>
  <c r="Z39" i="3" s="1"/>
  <c r="R43" i="3"/>
  <c r="X43" i="3" s="1"/>
  <c r="Z43" i="3" s="1"/>
  <c r="S25" i="3"/>
  <c r="S42" i="3"/>
  <c r="J41" i="3"/>
  <c r="J46" i="3"/>
  <c r="J63" i="3"/>
  <c r="K24" i="3"/>
  <c r="J26" i="3"/>
  <c r="J30" i="3"/>
  <c r="J34" i="3"/>
  <c r="J35" i="3"/>
  <c r="J39" i="3"/>
  <c r="J48" i="3"/>
  <c r="J52" i="3"/>
  <c r="J56" i="3"/>
  <c r="J57" i="3"/>
  <c r="J61" i="3"/>
  <c r="J65" i="3"/>
  <c r="K46" i="3"/>
  <c r="J67" i="3"/>
  <c r="K32" i="3"/>
  <c r="K37" i="3"/>
  <c r="K41" i="3"/>
  <c r="K45" i="3"/>
  <c r="K26" i="3"/>
  <c r="K30" i="3"/>
  <c r="K34" i="3"/>
  <c r="K35" i="3"/>
  <c r="K39" i="3"/>
  <c r="AF49" i="3"/>
  <c r="AF53" i="3"/>
  <c r="AG53" i="3" s="1"/>
  <c r="AH53" i="3" s="1"/>
  <c r="AF58" i="3"/>
  <c r="AG58" i="3" s="1"/>
  <c r="AH58" i="3" s="1"/>
  <c r="AF62" i="3"/>
  <c r="AG62" i="3" s="1"/>
  <c r="AH62" i="3" s="1"/>
  <c r="AF66" i="3"/>
  <c r="AG66" i="3" s="1"/>
  <c r="AH66" i="3" s="1"/>
  <c r="J53" i="3"/>
  <c r="J62" i="3"/>
  <c r="J47" i="3"/>
  <c r="J55" i="3"/>
  <c r="K47" i="3"/>
  <c r="K60" i="3"/>
  <c r="P49" i="3"/>
  <c r="R49" i="3" s="1"/>
  <c r="X49" i="3" s="1"/>
  <c r="Z49" i="3" s="1"/>
  <c r="P55" i="3"/>
  <c r="R55" i="3" s="1"/>
  <c r="X55" i="3" s="1"/>
  <c r="Z55" i="3" s="1"/>
  <c r="P62" i="3"/>
  <c r="R62" i="3" s="1"/>
  <c r="X62" i="3" s="1"/>
  <c r="Z62" i="3" s="1"/>
  <c r="K49" i="3"/>
  <c r="K51" i="3"/>
  <c r="K58" i="3"/>
  <c r="K62" i="3"/>
  <c r="J51" i="3"/>
  <c r="J58" i="3"/>
  <c r="K66" i="3"/>
  <c r="P51" i="3"/>
  <c r="P58" i="3"/>
  <c r="R58" i="3" s="1"/>
  <c r="X58" i="3" s="1"/>
  <c r="Z58" i="3" s="1"/>
  <c r="S47" i="3"/>
  <c r="S60" i="3"/>
  <c r="S66" i="3"/>
  <c r="K53" i="3"/>
  <c r="K55" i="3"/>
  <c r="K64" i="3"/>
  <c r="P53" i="3"/>
  <c r="R53" i="3" s="1"/>
  <c r="X53" i="3" s="1"/>
  <c r="Z53" i="3" s="1"/>
  <c r="P64" i="3"/>
  <c r="R64" i="3" s="1"/>
  <c r="X64" i="3" s="1"/>
  <c r="Z64" i="3" s="1"/>
  <c r="S49" i="3"/>
  <c r="S64" i="3"/>
  <c r="J60" i="3"/>
  <c r="P66" i="3"/>
  <c r="R66" i="3" s="1"/>
  <c r="X66" i="3" s="1"/>
  <c r="Z66" i="3" s="1"/>
  <c r="J25" i="3"/>
  <c r="J31" i="3"/>
  <c r="J42" i="3"/>
  <c r="K42" i="3"/>
  <c r="P25" i="3"/>
  <c r="R25" i="3" s="1"/>
  <c r="X25" i="3" s="1"/>
  <c r="Z25" i="3" s="1"/>
  <c r="P27" i="3"/>
  <c r="R27" i="3" s="1"/>
  <c r="X27" i="3" s="1"/>
  <c r="Z27" i="3" s="1"/>
  <c r="P29" i="3"/>
  <c r="R29" i="3" s="1"/>
  <c r="X29" i="3" s="1"/>
  <c r="Z29" i="3" s="1"/>
  <c r="P31" i="3"/>
  <c r="P33" i="3"/>
  <c r="R33" i="3" s="1"/>
  <c r="X33" i="3" s="1"/>
  <c r="Z33" i="3" s="1"/>
  <c r="P36" i="3"/>
  <c r="R36" i="3" s="1"/>
  <c r="X36" i="3" s="1"/>
  <c r="Z36" i="3" s="1"/>
  <c r="P38" i="3"/>
  <c r="R38" i="3" s="1"/>
  <c r="X38" i="3" s="1"/>
  <c r="Z38" i="3" s="1"/>
  <c r="P40" i="3"/>
  <c r="R40" i="3" s="1"/>
  <c r="X40" i="3" s="1"/>
  <c r="Z40" i="3" s="1"/>
  <c r="P42" i="3"/>
  <c r="R42" i="3" s="1"/>
  <c r="X42" i="3" s="1"/>
  <c r="Z42" i="3" s="1"/>
  <c r="P44" i="3"/>
  <c r="R44" i="3" s="1"/>
  <c r="X44" i="3" s="1"/>
  <c r="Z44" i="3" s="1"/>
  <c r="J38" i="3"/>
  <c r="J44" i="3"/>
  <c r="J27" i="3"/>
  <c r="J29" i="3"/>
  <c r="K25" i="3"/>
  <c r="K29" i="3"/>
  <c r="K33" i="3"/>
  <c r="S27" i="3"/>
  <c r="S31" i="3"/>
  <c r="S33" i="3"/>
  <c r="S36" i="3"/>
  <c r="S38" i="3"/>
  <c r="S40" i="3"/>
  <c r="S44" i="3"/>
  <c r="J36" i="3"/>
  <c r="J40" i="3"/>
  <c r="K33" i="18"/>
  <c r="K10" i="18"/>
  <c r="K12" i="18"/>
  <c r="K2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AD34" i="18"/>
  <c r="AB34" i="18"/>
  <c r="AA34" i="18"/>
  <c r="AC34" i="18" s="1"/>
  <c r="AE34" i="18" s="1"/>
  <c r="Q34" i="18"/>
  <c r="O34" i="18"/>
  <c r="N34" i="18"/>
  <c r="I34" i="18"/>
  <c r="K34" i="18" s="1"/>
  <c r="G34" i="18"/>
  <c r="AD33" i="18"/>
  <c r="AB33" i="18"/>
  <c r="AA33" i="18"/>
  <c r="AC33" i="18" s="1"/>
  <c r="AE33" i="18" s="1"/>
  <c r="Q33" i="18"/>
  <c r="O33" i="18"/>
  <c r="N33" i="18"/>
  <c r="I33" i="18"/>
  <c r="G33" i="18"/>
  <c r="AD32" i="18"/>
  <c r="AB32" i="18"/>
  <c r="AA32" i="18"/>
  <c r="AC32" i="18" s="1"/>
  <c r="AE32" i="18" s="1"/>
  <c r="Q32" i="18"/>
  <c r="O32" i="18"/>
  <c r="N32" i="18"/>
  <c r="I32" i="18"/>
  <c r="K32" i="18" s="1"/>
  <c r="G32" i="18"/>
  <c r="AD31" i="18"/>
  <c r="AB31" i="18"/>
  <c r="AA31" i="18"/>
  <c r="AC31" i="18" s="1"/>
  <c r="AE31" i="18" s="1"/>
  <c r="Q31" i="18"/>
  <c r="P31" i="18"/>
  <c r="AF31" i="18" s="1"/>
  <c r="AG31" i="18" s="1"/>
  <c r="O31" i="18"/>
  <c r="N31" i="18"/>
  <c r="I31" i="18"/>
  <c r="G31" i="18"/>
  <c r="AD30" i="18"/>
  <c r="AB30" i="18"/>
  <c r="AA30" i="18"/>
  <c r="AC30" i="18" s="1"/>
  <c r="AE30" i="18" s="1"/>
  <c r="Q30" i="18"/>
  <c r="O30" i="18"/>
  <c r="N30" i="18"/>
  <c r="I30" i="18"/>
  <c r="P30" i="18" s="1"/>
  <c r="R30" i="18" s="1"/>
  <c r="W30" i="18" s="1"/>
  <c r="Y30" i="18" s="1"/>
  <c r="G30" i="18"/>
  <c r="AD29" i="18"/>
  <c r="AC29" i="18"/>
  <c r="AE29" i="18" s="1"/>
  <c r="AB29" i="18"/>
  <c r="AA29" i="18"/>
  <c r="Q29" i="18"/>
  <c r="O29" i="18"/>
  <c r="N29" i="18"/>
  <c r="I29" i="18"/>
  <c r="G29" i="18"/>
  <c r="AD28" i="18"/>
  <c r="AB28" i="18"/>
  <c r="AA28" i="18"/>
  <c r="AC28" i="18" s="1"/>
  <c r="AE28" i="18" s="1"/>
  <c r="Q28" i="18"/>
  <c r="O28" i="18"/>
  <c r="N28" i="18"/>
  <c r="I28" i="18"/>
  <c r="K28" i="18" s="1"/>
  <c r="G28" i="18"/>
  <c r="AE27" i="18"/>
  <c r="AD27" i="18"/>
  <c r="AC27" i="18"/>
  <c r="AB27" i="18"/>
  <c r="AA27" i="18"/>
  <c r="Q27" i="18"/>
  <c r="O27" i="18"/>
  <c r="N27" i="18"/>
  <c r="I27" i="18"/>
  <c r="P27" i="18" s="1"/>
  <c r="R27" i="18" s="1"/>
  <c r="W27" i="18" s="1"/>
  <c r="Y27" i="18" s="1"/>
  <c r="G27" i="18"/>
  <c r="AD26" i="18"/>
  <c r="AB26" i="18"/>
  <c r="AA26" i="18"/>
  <c r="AC26" i="18" s="1"/>
  <c r="AE26" i="18" s="1"/>
  <c r="Q26" i="18"/>
  <c r="O26" i="18"/>
  <c r="N26" i="18"/>
  <c r="I26" i="18"/>
  <c r="G26" i="18"/>
  <c r="AD25" i="18"/>
  <c r="AC25" i="18"/>
  <c r="AE25" i="18" s="1"/>
  <c r="AB25" i="18"/>
  <c r="AA25" i="18"/>
  <c r="Q25" i="18"/>
  <c r="O25" i="18"/>
  <c r="N25" i="18"/>
  <c r="I25" i="18"/>
  <c r="K25" i="18" s="1"/>
  <c r="G25" i="18"/>
  <c r="AD24" i="18"/>
  <c r="AB24" i="18"/>
  <c r="AA24" i="18"/>
  <c r="AC24" i="18" s="1"/>
  <c r="AE24" i="18" s="1"/>
  <c r="Q24" i="18"/>
  <c r="O24" i="18"/>
  <c r="N24" i="18"/>
  <c r="I24" i="18"/>
  <c r="K24" i="18" s="1"/>
  <c r="G24" i="18"/>
  <c r="AD23" i="18"/>
  <c r="AC23" i="18"/>
  <c r="AE23" i="18" s="1"/>
  <c r="AB23" i="18"/>
  <c r="AA23" i="18"/>
  <c r="Q23" i="18"/>
  <c r="O23" i="18"/>
  <c r="N23" i="18"/>
  <c r="I23" i="18"/>
  <c r="G23" i="18"/>
  <c r="AD22" i="18"/>
  <c r="AC22" i="18"/>
  <c r="AE22" i="18" s="1"/>
  <c r="AB22" i="18"/>
  <c r="AA22" i="18"/>
  <c r="Q22" i="18"/>
  <c r="O22" i="18"/>
  <c r="N22" i="18"/>
  <c r="I22" i="18"/>
  <c r="G22" i="18"/>
  <c r="AD21" i="18"/>
  <c r="AC21" i="18"/>
  <c r="AE21" i="18" s="1"/>
  <c r="AB21" i="18"/>
  <c r="AA21" i="18"/>
  <c r="Q21" i="18"/>
  <c r="O21" i="18"/>
  <c r="N21" i="18"/>
  <c r="I21" i="18"/>
  <c r="S21" i="18" s="1"/>
  <c r="G21" i="18"/>
  <c r="AD20" i="18"/>
  <c r="AC20" i="18"/>
  <c r="AE20" i="18" s="1"/>
  <c r="AB20" i="18"/>
  <c r="AA20" i="18"/>
  <c r="Q20" i="18"/>
  <c r="O20" i="18"/>
  <c r="N20" i="18"/>
  <c r="I20" i="18"/>
  <c r="K20" i="18" s="1"/>
  <c r="G20" i="18"/>
  <c r="AD19" i="18"/>
  <c r="AB19" i="18"/>
  <c r="AA19" i="18"/>
  <c r="AC19" i="18" s="1"/>
  <c r="Q19" i="18"/>
  <c r="O19" i="18"/>
  <c r="N19" i="18"/>
  <c r="I19" i="18"/>
  <c r="K19" i="18" s="1"/>
  <c r="G19" i="18"/>
  <c r="AD18" i="18"/>
  <c r="AC18" i="18"/>
  <c r="AE18" i="18" s="1"/>
  <c r="AB18" i="18"/>
  <c r="AA18" i="18"/>
  <c r="Q18" i="18"/>
  <c r="O18" i="18"/>
  <c r="N18" i="18"/>
  <c r="I18" i="18"/>
  <c r="P18" i="18" s="1"/>
  <c r="G18" i="18"/>
  <c r="AD17" i="18"/>
  <c r="AE17" i="18" s="1"/>
  <c r="AB17" i="18"/>
  <c r="AA17" i="18"/>
  <c r="AC17" i="18" s="1"/>
  <c r="Q17" i="18"/>
  <c r="O17" i="18"/>
  <c r="N17" i="18"/>
  <c r="I17" i="18"/>
  <c r="J17" i="18" s="1"/>
  <c r="G17" i="18"/>
  <c r="AD16" i="18"/>
  <c r="AC16" i="18"/>
  <c r="AE16" i="18" s="1"/>
  <c r="AB16" i="18"/>
  <c r="AA16" i="18"/>
  <c r="Q16" i="18"/>
  <c r="O16" i="18"/>
  <c r="N16" i="18"/>
  <c r="I16" i="18"/>
  <c r="G16" i="18"/>
  <c r="AD15" i="18"/>
  <c r="AB15" i="18"/>
  <c r="AA15" i="18"/>
  <c r="AC15" i="18" s="1"/>
  <c r="AE15" i="18" s="1"/>
  <c r="Q15" i="18"/>
  <c r="O15" i="18"/>
  <c r="N15" i="18"/>
  <c r="I15" i="18"/>
  <c r="P15" i="18" s="1"/>
  <c r="G15" i="18"/>
  <c r="AD14" i="18"/>
  <c r="AB14" i="18"/>
  <c r="AA14" i="18"/>
  <c r="AC14" i="18" s="1"/>
  <c r="AE14" i="18" s="1"/>
  <c r="Q14" i="18"/>
  <c r="O14" i="18"/>
  <c r="N14" i="18"/>
  <c r="I14" i="18"/>
  <c r="G14" i="18"/>
  <c r="AD13" i="18"/>
  <c r="AB13" i="18"/>
  <c r="AA13" i="18"/>
  <c r="AC13" i="18" s="1"/>
  <c r="AE13" i="18" s="1"/>
  <c r="Q13" i="18"/>
  <c r="O13" i="18"/>
  <c r="N13" i="18"/>
  <c r="I13" i="18"/>
  <c r="P13" i="18" s="1"/>
  <c r="R13" i="18" s="1"/>
  <c r="W13" i="18" s="1"/>
  <c r="Y13" i="18" s="1"/>
  <c r="G13" i="18"/>
  <c r="AD12" i="18"/>
  <c r="AB12" i="18"/>
  <c r="AA12" i="18"/>
  <c r="AC12" i="18" s="1"/>
  <c r="AE12" i="18" s="1"/>
  <c r="Q12" i="18"/>
  <c r="O12" i="18"/>
  <c r="N12" i="18"/>
  <c r="L12" i="18"/>
  <c r="I12" i="18"/>
  <c r="J12" i="18" s="1"/>
  <c r="G12" i="18"/>
  <c r="AD11" i="18"/>
  <c r="AB11" i="18"/>
  <c r="AA11" i="18"/>
  <c r="AC11" i="18" s="1"/>
  <c r="AE11" i="18" s="1"/>
  <c r="Q11" i="18"/>
  <c r="O11" i="18"/>
  <c r="N11" i="18"/>
  <c r="L11" i="18"/>
  <c r="I11" i="18"/>
  <c r="G11" i="18"/>
  <c r="AD10" i="18"/>
  <c r="AB10" i="18"/>
  <c r="AA10" i="18"/>
  <c r="AC10" i="18" s="1"/>
  <c r="AE10" i="18" s="1"/>
  <c r="Q10" i="18"/>
  <c r="O10" i="18"/>
  <c r="N10" i="18"/>
  <c r="L10" i="18"/>
  <c r="I10" i="18"/>
  <c r="G10" i="18"/>
  <c r="AD9" i="18"/>
  <c r="AB9" i="18"/>
  <c r="AA9" i="18"/>
  <c r="AC9" i="18" s="1"/>
  <c r="AE9" i="18" s="1"/>
  <c r="Q9" i="18"/>
  <c r="O9" i="18"/>
  <c r="N9" i="18"/>
  <c r="L9" i="18"/>
  <c r="I9" i="18"/>
  <c r="G9" i="18"/>
  <c r="AD8" i="18"/>
  <c r="AB8" i="18"/>
  <c r="AA8" i="18"/>
  <c r="AC8" i="18" s="1"/>
  <c r="AE8" i="18" s="1"/>
  <c r="Q8" i="18"/>
  <c r="O8" i="18"/>
  <c r="N8" i="18"/>
  <c r="L8" i="18"/>
  <c r="I8" i="18"/>
  <c r="G8" i="18"/>
  <c r="AD7" i="18"/>
  <c r="AE7" i="18" s="1"/>
  <c r="AC7" i="18"/>
  <c r="AB7" i="18"/>
  <c r="AA7" i="18"/>
  <c r="Q7" i="18"/>
  <c r="P7" i="18"/>
  <c r="R7" i="18" s="1"/>
  <c r="W7" i="18" s="1"/>
  <c r="Y7" i="18" s="1"/>
  <c r="O7" i="18"/>
  <c r="N7" i="18"/>
  <c r="L7" i="18"/>
  <c r="I7" i="18"/>
  <c r="S7" i="18" s="1"/>
  <c r="G7" i="18"/>
  <c r="AE6" i="18"/>
  <c r="AD6" i="18"/>
  <c r="AC6" i="18"/>
  <c r="AB6" i="18"/>
  <c r="AA6" i="18"/>
  <c r="Q6" i="18"/>
  <c r="O6" i="18"/>
  <c r="N6" i="18"/>
  <c r="L6" i="18"/>
  <c r="I6" i="18"/>
  <c r="G6" i="18"/>
  <c r="AD5" i="18"/>
  <c r="AC5" i="18"/>
  <c r="AE5" i="18" s="1"/>
  <c r="AB5" i="18"/>
  <c r="AA5" i="18"/>
  <c r="Q5" i="18"/>
  <c r="O5" i="18"/>
  <c r="N5" i="18"/>
  <c r="L5" i="18"/>
  <c r="I5" i="18"/>
  <c r="G5" i="18"/>
  <c r="AD4" i="18"/>
  <c r="AB4" i="18"/>
  <c r="AA4" i="18"/>
  <c r="AC4" i="18" s="1"/>
  <c r="AE4" i="18" s="1"/>
  <c r="Q4" i="18"/>
  <c r="O4" i="18"/>
  <c r="N4" i="18"/>
  <c r="L4" i="18"/>
  <c r="I4" i="18"/>
  <c r="K4" i="18" s="1"/>
  <c r="G4" i="18"/>
  <c r="AD3" i="18"/>
  <c r="AE3" i="18" s="1"/>
  <c r="AC3" i="18"/>
  <c r="AB3" i="18"/>
  <c r="AA3" i="18"/>
  <c r="Q3" i="18"/>
  <c r="O3" i="18"/>
  <c r="N3" i="18"/>
  <c r="L3" i="18"/>
  <c r="I3" i="18"/>
  <c r="G3" i="18"/>
  <c r="Q2" i="18"/>
  <c r="O2" i="18"/>
  <c r="N2" i="18"/>
  <c r="L2" i="18"/>
  <c r="I2" i="18"/>
  <c r="G2" i="18"/>
  <c r="N17" i="16"/>
  <c r="T60" i="3" l="1"/>
  <c r="U60" i="3" s="1"/>
  <c r="W60" i="3" s="1"/>
  <c r="AG33" i="3"/>
  <c r="AH33" i="3" s="1"/>
  <c r="AG38" i="3"/>
  <c r="AH38" i="3" s="1"/>
  <c r="T32" i="3"/>
  <c r="U32" i="3" s="1"/>
  <c r="W32" i="3" s="1"/>
  <c r="T54" i="3"/>
  <c r="U54" i="3" s="1"/>
  <c r="W54" i="3" s="1"/>
  <c r="AG40" i="3"/>
  <c r="AH40" i="3" s="1"/>
  <c r="AG29" i="3"/>
  <c r="AH29" i="3" s="1"/>
  <c r="AG64" i="3"/>
  <c r="AH64" i="3" s="1"/>
  <c r="AG49" i="3"/>
  <c r="AH49" i="3" s="1"/>
  <c r="T45" i="3"/>
  <c r="U45" i="3" s="1"/>
  <c r="W45" i="3" s="1"/>
  <c r="AG42" i="3"/>
  <c r="AH42" i="3" s="1"/>
  <c r="R51" i="3"/>
  <c r="X51" i="3" s="1"/>
  <c r="Z51" i="3" s="1"/>
  <c r="AG51" i="3"/>
  <c r="AH51" i="3" s="1"/>
  <c r="T67" i="3"/>
  <c r="U67" i="3" s="1"/>
  <c r="W67" i="3" s="1"/>
  <c r="AG44" i="3"/>
  <c r="AH44" i="3" s="1"/>
  <c r="T63" i="3"/>
  <c r="U63" i="3" s="1"/>
  <c r="W63" i="3" s="1"/>
  <c r="AG36" i="3"/>
  <c r="AH36" i="3" s="1"/>
  <c r="AG27" i="3"/>
  <c r="AH27" i="3" s="1"/>
  <c r="AG25" i="3"/>
  <c r="AH25" i="3" s="1"/>
  <c r="T36" i="3"/>
  <c r="U36" i="3" s="1"/>
  <c r="W36" i="3" s="1"/>
  <c r="AG55" i="3"/>
  <c r="AH55" i="3" s="1"/>
  <c r="R31" i="3"/>
  <c r="X31" i="3" s="1"/>
  <c r="Z31" i="3" s="1"/>
  <c r="AG31" i="3"/>
  <c r="AH31" i="3" s="1"/>
  <c r="T30" i="3"/>
  <c r="U30" i="3" s="1"/>
  <c r="W30" i="3" s="1"/>
  <c r="T28" i="3"/>
  <c r="U28" i="3" s="1"/>
  <c r="W28" i="3" s="1"/>
  <c r="T37" i="3"/>
  <c r="U37" i="3" s="1"/>
  <c r="W37" i="3" s="1"/>
  <c r="T47" i="3"/>
  <c r="U47" i="3" s="1"/>
  <c r="W47" i="3" s="1"/>
  <c r="T41" i="3"/>
  <c r="U41" i="3" s="1"/>
  <c r="W41" i="3" s="1"/>
  <c r="T48" i="3"/>
  <c r="U48" i="3" s="1"/>
  <c r="W48" i="3" s="1"/>
  <c r="S23" i="18"/>
  <c r="S11" i="18"/>
  <c r="J20" i="18"/>
  <c r="S29" i="18"/>
  <c r="K29" i="18"/>
  <c r="AF26" i="18"/>
  <c r="AG26" i="18" s="1"/>
  <c r="J28" i="18"/>
  <c r="P28" i="18"/>
  <c r="R28" i="18" s="1"/>
  <c r="W28" i="18" s="1"/>
  <c r="Y28" i="18" s="1"/>
  <c r="P20" i="18"/>
  <c r="R20" i="18" s="1"/>
  <c r="W20" i="18" s="1"/>
  <c r="Y20" i="18" s="1"/>
  <c r="S26" i="18"/>
  <c r="T26" i="18" s="1"/>
  <c r="U26" i="18" s="1"/>
  <c r="V26" i="18" s="1"/>
  <c r="P29" i="18"/>
  <c r="AF29" i="18" s="1"/>
  <c r="AG29" i="18" s="1"/>
  <c r="S31" i="18"/>
  <c r="S5" i="18"/>
  <c r="T5" i="18" s="1"/>
  <c r="U5" i="18" s="1"/>
  <c r="V5" i="18" s="1"/>
  <c r="R15" i="18"/>
  <c r="W15" i="18" s="1"/>
  <c r="Y15" i="18" s="1"/>
  <c r="AF27" i="18"/>
  <c r="AG27" i="18" s="1"/>
  <c r="AF13" i="18"/>
  <c r="AG13" i="18" s="1"/>
  <c r="K26" i="18"/>
  <c r="P26" i="18"/>
  <c r="S3" i="18"/>
  <c r="R18" i="18"/>
  <c r="W18" i="18" s="1"/>
  <c r="Y18" i="18" s="1"/>
  <c r="R26" i="18"/>
  <c r="W26" i="18" s="1"/>
  <c r="Y26" i="18" s="1"/>
  <c r="K3" i="18"/>
  <c r="J7" i="18"/>
  <c r="S12" i="18"/>
  <c r="T12" i="18" s="1"/>
  <c r="U12" i="18" s="1"/>
  <c r="V12" i="18" s="1"/>
  <c r="S20" i="18"/>
  <c r="T20" i="18" s="1"/>
  <c r="U20" i="18" s="1"/>
  <c r="V20" i="18" s="1"/>
  <c r="S28" i="18"/>
  <c r="T28" i="18" s="1"/>
  <c r="U28" i="18" s="1"/>
  <c r="V28" i="18" s="1"/>
  <c r="S33" i="18"/>
  <c r="T33" i="18" s="1"/>
  <c r="U33" i="18" s="1"/>
  <c r="V33" i="18" s="1"/>
  <c r="S9" i="18"/>
  <c r="T9" i="18" s="1"/>
  <c r="U9" i="18" s="1"/>
  <c r="V9" i="18" s="1"/>
  <c r="K17" i="18"/>
  <c r="S22" i="18"/>
  <c r="K31" i="18"/>
  <c r="P12" i="18"/>
  <c r="R12" i="18" s="1"/>
  <c r="W12" i="18" s="1"/>
  <c r="Y12" i="18" s="1"/>
  <c r="S14" i="18"/>
  <c r="P19" i="18"/>
  <c r="R19" i="18" s="1"/>
  <c r="W19" i="18" s="1"/>
  <c r="Y19" i="18" s="1"/>
  <c r="S19" i="18"/>
  <c r="K22" i="18"/>
  <c r="S27" i="18"/>
  <c r="S30" i="18"/>
  <c r="T30" i="18" s="1"/>
  <c r="U30" i="18" s="1"/>
  <c r="V30" i="18" s="1"/>
  <c r="K30" i="18"/>
  <c r="S6" i="18"/>
  <c r="S16" i="18"/>
  <c r="K11" i="18"/>
  <c r="AF12" i="18"/>
  <c r="AG12" i="18" s="1"/>
  <c r="P22" i="18"/>
  <c r="R22" i="18" s="1"/>
  <c r="W22" i="18" s="1"/>
  <c r="Y22" i="18" s="1"/>
  <c r="S32" i="18"/>
  <c r="T32" i="18" s="1"/>
  <c r="U32" i="18" s="1"/>
  <c r="V32" i="18" s="1"/>
  <c r="J34" i="18"/>
  <c r="S34" i="18"/>
  <c r="K27" i="18"/>
  <c r="S8" i="18"/>
  <c r="P9" i="18"/>
  <c r="R9" i="18" s="1"/>
  <c r="W9" i="18" s="1"/>
  <c r="Y9" i="18" s="1"/>
  <c r="AF17" i="18"/>
  <c r="AG17" i="18" s="1"/>
  <c r="K9" i="18"/>
  <c r="P11" i="18"/>
  <c r="R11" i="18" s="1"/>
  <c r="T11" i="18" s="1"/>
  <c r="U11" i="18" s="1"/>
  <c r="V11" i="18" s="1"/>
  <c r="P16" i="18"/>
  <c r="R16" i="18" s="1"/>
  <c r="W16" i="18" s="1"/>
  <c r="Y16" i="18" s="1"/>
  <c r="K8" i="18"/>
  <c r="S25" i="18"/>
  <c r="J3" i="18"/>
  <c r="P3" i="18"/>
  <c r="R3" i="18" s="1"/>
  <c r="W3" i="18" s="1"/>
  <c r="Y3" i="18" s="1"/>
  <c r="P6" i="18"/>
  <c r="R6" i="18" s="1"/>
  <c r="W6" i="18" s="1"/>
  <c r="Y6" i="18" s="1"/>
  <c r="J22" i="18"/>
  <c r="AF7" i="18"/>
  <c r="AG7" i="18" s="1"/>
  <c r="S24" i="18"/>
  <c r="P24" i="18"/>
  <c r="R24" i="18" s="1"/>
  <c r="W24" i="18" s="1"/>
  <c r="Y24" i="18" s="1"/>
  <c r="K7" i="18"/>
  <c r="P17" i="18"/>
  <c r="R17" i="18" s="1"/>
  <c r="W17" i="18" s="1"/>
  <c r="Y17" i="18" s="1"/>
  <c r="S17" i="18"/>
  <c r="T17" i="18" s="1"/>
  <c r="U17" i="18" s="1"/>
  <c r="V17" i="18" s="1"/>
  <c r="AF18" i="18"/>
  <c r="AG18" i="18" s="1"/>
  <c r="J5" i="18"/>
  <c r="T24" i="18"/>
  <c r="U24" i="18" s="1"/>
  <c r="V24" i="18" s="1"/>
  <c r="AF9" i="18"/>
  <c r="AG9" i="18" s="1"/>
  <c r="P5" i="18"/>
  <c r="R5" i="18" s="1"/>
  <c r="W5" i="18" s="1"/>
  <c r="Y5" i="18" s="1"/>
  <c r="K18" i="18"/>
  <c r="S18" i="18"/>
  <c r="T18" i="18" s="1"/>
  <c r="U18" i="18" s="1"/>
  <c r="V18" i="18" s="1"/>
  <c r="S13" i="18"/>
  <c r="T13" i="18" s="1"/>
  <c r="U13" i="18" s="1"/>
  <c r="V13" i="18" s="1"/>
  <c r="K6" i="18"/>
  <c r="S4" i="18"/>
  <c r="P8" i="18"/>
  <c r="S10" i="18"/>
  <c r="K15" i="18"/>
  <c r="S15" i="18"/>
  <c r="K5" i="18"/>
  <c r="P2" i="18"/>
  <c r="R2" i="18" s="1"/>
  <c r="W2" i="18" s="1"/>
  <c r="S2" i="18"/>
  <c r="T2" i="18" s="1"/>
  <c r="U2" i="18" s="1"/>
  <c r="V2" i="18" s="1"/>
  <c r="T35" i="3"/>
  <c r="U35" i="3" s="1"/>
  <c r="W35" i="3" s="1"/>
  <c r="T39" i="3"/>
  <c r="U39" i="3" s="1"/>
  <c r="W39" i="3" s="1"/>
  <c r="T61" i="3"/>
  <c r="U61" i="3" s="1"/>
  <c r="W61" i="3" s="1"/>
  <c r="T64" i="3"/>
  <c r="U64" i="3" s="1"/>
  <c r="W64" i="3" s="1"/>
  <c r="T43" i="3"/>
  <c r="U43" i="3" s="1"/>
  <c r="W43" i="3" s="1"/>
  <c r="T33" i="3"/>
  <c r="U33" i="3" s="1"/>
  <c r="W33" i="3" s="1"/>
  <c r="T57" i="3"/>
  <c r="U57" i="3" s="1"/>
  <c r="W57" i="3" s="1"/>
  <c r="T34" i="3"/>
  <c r="U34" i="3" s="1"/>
  <c r="W34" i="3" s="1"/>
  <c r="T26" i="3"/>
  <c r="U26" i="3" s="1"/>
  <c r="W26" i="3" s="1"/>
  <c r="T62" i="3"/>
  <c r="U62" i="3" s="1"/>
  <c r="W62" i="3" s="1"/>
  <c r="T56" i="3"/>
  <c r="U56" i="3" s="1"/>
  <c r="W56" i="3" s="1"/>
  <c r="T49" i="3"/>
  <c r="U49" i="3" s="1"/>
  <c r="W49" i="3" s="1"/>
  <c r="T65" i="3"/>
  <c r="U65" i="3" s="1"/>
  <c r="W65" i="3" s="1"/>
  <c r="T52" i="3"/>
  <c r="U52" i="3" s="1"/>
  <c r="W52" i="3" s="1"/>
  <c r="T58" i="3"/>
  <c r="U58" i="3" s="1"/>
  <c r="W58" i="3" s="1"/>
  <c r="T66" i="3"/>
  <c r="U66" i="3" s="1"/>
  <c r="W66" i="3" s="1"/>
  <c r="T55" i="3"/>
  <c r="U55" i="3" s="1"/>
  <c r="W55" i="3" s="1"/>
  <c r="T53" i="3"/>
  <c r="U53" i="3" s="1"/>
  <c r="W53" i="3" s="1"/>
  <c r="T42" i="3"/>
  <c r="U42" i="3" s="1"/>
  <c r="W42" i="3" s="1"/>
  <c r="T29" i="3"/>
  <c r="U29" i="3" s="1"/>
  <c r="W29" i="3" s="1"/>
  <c r="T44" i="3"/>
  <c r="U44" i="3" s="1"/>
  <c r="W44" i="3" s="1"/>
  <c r="T27" i="3"/>
  <c r="U27" i="3" s="1"/>
  <c r="W27" i="3" s="1"/>
  <c r="T40" i="3"/>
  <c r="U40" i="3" s="1"/>
  <c r="W40" i="3" s="1"/>
  <c r="T38" i="3"/>
  <c r="U38" i="3" s="1"/>
  <c r="W38" i="3" s="1"/>
  <c r="T25" i="3"/>
  <c r="U25" i="3" s="1"/>
  <c r="W25" i="3" s="1"/>
  <c r="W11" i="18"/>
  <c r="Y11" i="18" s="1"/>
  <c r="K13" i="18"/>
  <c r="J16" i="18"/>
  <c r="R31" i="18"/>
  <c r="W31" i="18" s="1"/>
  <c r="Y31" i="18" s="1"/>
  <c r="R8" i="18"/>
  <c r="W8" i="18" s="1"/>
  <c r="Y8" i="18" s="1"/>
  <c r="J13" i="18"/>
  <c r="K16" i="18"/>
  <c r="P14" i="18"/>
  <c r="R14" i="18" s="1"/>
  <c r="W14" i="18" s="1"/>
  <c r="Y14" i="18" s="1"/>
  <c r="K14" i="18"/>
  <c r="J14" i="18"/>
  <c r="T7" i="18"/>
  <c r="U7" i="18" s="1"/>
  <c r="V7" i="18" s="1"/>
  <c r="J19" i="18"/>
  <c r="P34" i="18"/>
  <c r="R34" i="18" s="1"/>
  <c r="W34" i="18" s="1"/>
  <c r="Y34" i="18" s="1"/>
  <c r="P21" i="18"/>
  <c r="R21" i="18" s="1"/>
  <c r="W21" i="18" s="1"/>
  <c r="Y21" i="18" s="1"/>
  <c r="K21" i="18"/>
  <c r="J21" i="18"/>
  <c r="P33" i="18"/>
  <c r="R33" i="18" s="1"/>
  <c r="W33" i="18" s="1"/>
  <c r="Y33" i="18" s="1"/>
  <c r="J33" i="18"/>
  <c r="AF8" i="18"/>
  <c r="AG8" i="18" s="1"/>
  <c r="P4" i="18"/>
  <c r="R4" i="18" s="1"/>
  <c r="W4" i="18" s="1"/>
  <c r="Y4" i="18" s="1"/>
  <c r="J4" i="18"/>
  <c r="J27" i="18"/>
  <c r="J23" i="18"/>
  <c r="T27" i="18"/>
  <c r="U27" i="18" s="1"/>
  <c r="V27" i="18" s="1"/>
  <c r="P32" i="18"/>
  <c r="R32" i="18" s="1"/>
  <c r="W32" i="18" s="1"/>
  <c r="Y32" i="18" s="1"/>
  <c r="J6" i="18"/>
  <c r="K23" i="18"/>
  <c r="J32" i="18"/>
  <c r="J9" i="18"/>
  <c r="J31" i="18"/>
  <c r="AF15" i="18"/>
  <c r="AG15" i="18" s="1"/>
  <c r="J29" i="18"/>
  <c r="P10" i="18"/>
  <c r="R10" i="18" s="1"/>
  <c r="W10" i="18" s="1"/>
  <c r="Y10" i="18" s="1"/>
  <c r="J10" i="18"/>
  <c r="AE19" i="18"/>
  <c r="AF19" i="18" s="1"/>
  <c r="AG19" i="18" s="1"/>
  <c r="P23" i="18"/>
  <c r="R23" i="18" s="1"/>
  <c r="W23" i="18" s="1"/>
  <c r="Y23" i="18" s="1"/>
  <c r="J18" i="18"/>
  <c r="J25" i="18"/>
  <c r="AF30" i="18"/>
  <c r="AG30" i="18" s="1"/>
  <c r="J2" i="18"/>
  <c r="J15" i="18"/>
  <c r="J26" i="18"/>
  <c r="J30" i="18"/>
  <c r="P25" i="18"/>
  <c r="R25" i="18" s="1"/>
  <c r="W25" i="18" s="1"/>
  <c r="Y25" i="18" s="1"/>
  <c r="J11" i="18"/>
  <c r="J8" i="18"/>
  <c r="J24" i="18"/>
  <c r="Q2" i="16"/>
  <c r="AE2" i="16"/>
  <c r="AE8" i="16"/>
  <c r="AE7" i="16"/>
  <c r="AD21" i="16"/>
  <c r="AC21" i="16"/>
  <c r="AE21" i="16" s="1"/>
  <c r="AB21" i="16"/>
  <c r="AA21" i="16"/>
  <c r="AD20" i="16"/>
  <c r="AC20" i="16"/>
  <c r="AE20" i="16" s="1"/>
  <c r="AB20" i="16"/>
  <c r="AA20" i="16"/>
  <c r="AD19" i="16"/>
  <c r="AB19" i="16"/>
  <c r="AA19" i="16"/>
  <c r="AC19" i="16" s="1"/>
  <c r="AE19" i="16" s="1"/>
  <c r="AD18" i="16"/>
  <c r="AB18" i="16"/>
  <c r="AA18" i="16"/>
  <c r="AC18" i="16" s="1"/>
  <c r="AE18" i="16" s="1"/>
  <c r="AD17" i="16"/>
  <c r="AB17" i="16"/>
  <c r="AA17" i="16"/>
  <c r="AC17" i="16" s="1"/>
  <c r="AE17" i="16" s="1"/>
  <c r="AE16" i="16"/>
  <c r="AD16" i="16"/>
  <c r="AB16" i="16"/>
  <c r="AA16" i="16"/>
  <c r="AC16" i="16" s="1"/>
  <c r="AD15" i="16"/>
  <c r="AB15" i="16"/>
  <c r="AA15" i="16"/>
  <c r="AC15" i="16" s="1"/>
  <c r="AE15" i="16" s="1"/>
  <c r="AE14" i="16"/>
  <c r="AD14" i="16"/>
  <c r="AC14" i="16"/>
  <c r="AB14" i="16"/>
  <c r="AA14" i="16"/>
  <c r="AD13" i="16"/>
  <c r="AC13" i="16"/>
  <c r="AE13" i="16" s="1"/>
  <c r="AB13" i="16"/>
  <c r="AA13" i="16"/>
  <c r="AD12" i="16"/>
  <c r="AB12" i="16"/>
  <c r="AA12" i="16"/>
  <c r="AC12" i="16" s="1"/>
  <c r="AE12" i="16" s="1"/>
  <c r="AD11" i="16"/>
  <c r="AB11" i="16"/>
  <c r="AA11" i="16"/>
  <c r="AC11" i="16" s="1"/>
  <c r="AE11" i="16" s="1"/>
  <c r="AD10" i="16"/>
  <c r="AB10" i="16"/>
  <c r="AA10" i="16"/>
  <c r="AC10" i="16" s="1"/>
  <c r="AE10" i="16" s="1"/>
  <c r="AD9" i="16"/>
  <c r="AB9" i="16"/>
  <c r="AA9" i="16"/>
  <c r="AC9" i="16" s="1"/>
  <c r="AE9" i="16" s="1"/>
  <c r="AD8" i="16"/>
  <c r="AB8" i="16"/>
  <c r="AA8" i="16"/>
  <c r="AC8" i="16" s="1"/>
  <c r="AD7" i="16"/>
  <c r="AC7" i="16"/>
  <c r="AB7" i="16"/>
  <c r="AA7" i="16"/>
  <c r="AD6" i="16"/>
  <c r="AB6" i="16"/>
  <c r="AA6" i="16"/>
  <c r="AC6" i="16" s="1"/>
  <c r="AD5" i="16"/>
  <c r="AC5" i="16"/>
  <c r="AE5" i="16" s="1"/>
  <c r="AB5" i="16"/>
  <c r="AA5" i="16"/>
  <c r="AD4" i="16"/>
  <c r="AC4" i="16"/>
  <c r="AE4" i="16" s="1"/>
  <c r="AB4" i="16"/>
  <c r="AA4" i="16"/>
  <c r="AD3" i="16"/>
  <c r="AE3" i="16" s="1"/>
  <c r="AC3" i="16"/>
  <c r="AB3" i="16"/>
  <c r="AA3" i="16"/>
  <c r="AD2" i="16"/>
  <c r="AB2" i="16"/>
  <c r="AA2" i="16"/>
  <c r="AC2" i="16" s="1"/>
  <c r="AE23" i="3"/>
  <c r="AC23" i="3"/>
  <c r="AB23" i="3"/>
  <c r="AD23" i="3" s="1"/>
  <c r="AE22" i="3"/>
  <c r="AC22" i="3"/>
  <c r="AB22" i="3"/>
  <c r="AD22" i="3" s="1"/>
  <c r="AE21" i="3"/>
  <c r="AC21" i="3"/>
  <c r="AB21" i="3"/>
  <c r="AD21" i="3" s="1"/>
  <c r="AE20" i="3"/>
  <c r="AC20" i="3"/>
  <c r="AB20" i="3"/>
  <c r="AD20" i="3" s="1"/>
  <c r="AE19" i="3"/>
  <c r="AC19" i="3"/>
  <c r="AB19" i="3"/>
  <c r="AD19" i="3" s="1"/>
  <c r="AE18" i="3"/>
  <c r="AC18" i="3"/>
  <c r="AB18" i="3"/>
  <c r="AD18" i="3" s="1"/>
  <c r="AE17" i="3"/>
  <c r="AC17" i="3"/>
  <c r="AB17" i="3"/>
  <c r="AD17" i="3" s="1"/>
  <c r="AE16" i="3"/>
  <c r="AC16" i="3"/>
  <c r="AB16" i="3"/>
  <c r="AD16" i="3" s="1"/>
  <c r="AE15" i="3"/>
  <c r="AC15" i="3"/>
  <c r="AB15" i="3"/>
  <c r="AD15" i="3" s="1"/>
  <c r="AE14" i="3"/>
  <c r="AC14" i="3"/>
  <c r="AB14" i="3"/>
  <c r="AD14" i="3" s="1"/>
  <c r="AE13" i="3"/>
  <c r="AC13" i="3"/>
  <c r="AB13" i="3"/>
  <c r="AD13" i="3" s="1"/>
  <c r="AE12" i="3"/>
  <c r="AC12" i="3"/>
  <c r="AB12" i="3"/>
  <c r="AD12" i="3" s="1"/>
  <c r="AE11" i="3"/>
  <c r="AC11" i="3"/>
  <c r="AB11" i="3"/>
  <c r="AD11" i="3" s="1"/>
  <c r="AE10" i="3"/>
  <c r="AC10" i="3"/>
  <c r="AB10" i="3"/>
  <c r="AD10" i="3" s="1"/>
  <c r="AE9" i="3"/>
  <c r="AC9" i="3"/>
  <c r="AB9" i="3"/>
  <c r="AD9" i="3" s="1"/>
  <c r="AE8" i="3"/>
  <c r="AC8" i="3"/>
  <c r="AB8" i="3"/>
  <c r="AD8" i="3" s="1"/>
  <c r="AE7" i="3"/>
  <c r="AC7" i="3"/>
  <c r="AB7" i="3"/>
  <c r="AD7" i="3" s="1"/>
  <c r="AE6" i="3"/>
  <c r="AC6" i="3"/>
  <c r="AB6" i="3"/>
  <c r="AD6" i="3" s="1"/>
  <c r="AE5" i="3"/>
  <c r="AC5" i="3"/>
  <c r="AB5" i="3"/>
  <c r="AD5" i="3" s="1"/>
  <c r="AE4" i="3"/>
  <c r="AC4" i="3"/>
  <c r="AB4" i="3"/>
  <c r="AD4" i="3" s="1"/>
  <c r="AE3" i="3"/>
  <c r="AC3" i="3"/>
  <c r="AB3" i="3"/>
  <c r="AD3" i="3" s="1"/>
  <c r="AE2" i="3"/>
  <c r="AC2" i="3"/>
  <c r="AB2" i="3"/>
  <c r="AD2" i="3" s="1"/>
  <c r="T51" i="3" l="1"/>
  <c r="U51" i="3" s="1"/>
  <c r="W51" i="3" s="1"/>
  <c r="AF19" i="3"/>
  <c r="AF7" i="3"/>
  <c r="AF2" i="3"/>
  <c r="T31" i="3"/>
  <c r="U31" i="3" s="1"/>
  <c r="W31" i="3" s="1"/>
  <c r="R29" i="18"/>
  <c r="T6" i="18"/>
  <c r="U6" i="18" s="1"/>
  <c r="V6" i="18" s="1"/>
  <c r="AF20" i="18"/>
  <c r="AG20" i="18" s="1"/>
  <c r="AF28" i="18"/>
  <c r="AG28" i="18" s="1"/>
  <c r="T15" i="18"/>
  <c r="U15" i="18" s="1"/>
  <c r="V15" i="18" s="1"/>
  <c r="T25" i="18"/>
  <c r="U25" i="18" s="1"/>
  <c r="V25" i="18" s="1"/>
  <c r="T22" i="18"/>
  <c r="U22" i="18" s="1"/>
  <c r="V22" i="18" s="1"/>
  <c r="AF32" i="18"/>
  <c r="AG32" i="18" s="1"/>
  <c r="T16" i="18"/>
  <c r="U16" i="18" s="1"/>
  <c r="V16" i="18" s="1"/>
  <c r="T21" i="18"/>
  <c r="U21" i="18" s="1"/>
  <c r="V21" i="18" s="1"/>
  <c r="T3" i="18"/>
  <c r="U3" i="18" s="1"/>
  <c r="V3" i="18" s="1"/>
  <c r="T19" i="18"/>
  <c r="U19" i="18" s="1"/>
  <c r="V19" i="18" s="1"/>
  <c r="T8" i="18"/>
  <c r="U8" i="18" s="1"/>
  <c r="V8" i="18" s="1"/>
  <c r="AF5" i="18"/>
  <c r="AG5" i="18" s="1"/>
  <c r="T31" i="18"/>
  <c r="U31" i="18" s="1"/>
  <c r="V31" i="18" s="1"/>
  <c r="AF3" i="18"/>
  <c r="AG3" i="18" s="1"/>
  <c r="AF6" i="18"/>
  <c r="AG6" i="18" s="1"/>
  <c r="AF25" i="18"/>
  <c r="AG25" i="18" s="1"/>
  <c r="AF10" i="18"/>
  <c r="AG10" i="18" s="1"/>
  <c r="AF24" i="18"/>
  <c r="AG24" i="18" s="1"/>
  <c r="AF33" i="18"/>
  <c r="AG33" i="18" s="1"/>
  <c r="AF16" i="18"/>
  <c r="AG16" i="18" s="1"/>
  <c r="AF11" i="18"/>
  <c r="AG11" i="18" s="1"/>
  <c r="AF22" i="18"/>
  <c r="AG22" i="18" s="1"/>
  <c r="AF23" i="3"/>
  <c r="AF18" i="3"/>
  <c r="AF4" i="3"/>
  <c r="AF17" i="3"/>
  <c r="AF14" i="3"/>
  <c r="AF3" i="3"/>
  <c r="AF8" i="3"/>
  <c r="AF9" i="3"/>
  <c r="AF20" i="3"/>
  <c r="AF11" i="3"/>
  <c r="AF6" i="3"/>
  <c r="AF10" i="3"/>
  <c r="AF13" i="3"/>
  <c r="AF22" i="3"/>
  <c r="AF12" i="3"/>
  <c r="AF15" i="3"/>
  <c r="AF16" i="3"/>
  <c r="AF5" i="3"/>
  <c r="AF21" i="3"/>
  <c r="AF21" i="18"/>
  <c r="AG21" i="18" s="1"/>
  <c r="AF23" i="18"/>
  <c r="AG23" i="18" s="1"/>
  <c r="AF14" i="18"/>
  <c r="AG14" i="18" s="1"/>
  <c r="T10" i="18"/>
  <c r="U10" i="18" s="1"/>
  <c r="V10" i="18" s="1"/>
  <c r="T23" i="18"/>
  <c r="U23" i="18" s="1"/>
  <c r="V23" i="18" s="1"/>
  <c r="T14" i="18"/>
  <c r="U14" i="18" s="1"/>
  <c r="V14" i="18" s="1"/>
  <c r="AF4" i="18"/>
  <c r="AG4" i="18" s="1"/>
  <c r="AF34" i="18"/>
  <c r="AG34" i="18" s="1"/>
  <c r="T34" i="18"/>
  <c r="U34" i="18" s="1"/>
  <c r="V34" i="18" s="1"/>
  <c r="T4" i="18"/>
  <c r="U4" i="18" s="1"/>
  <c r="V4" i="18" s="1"/>
  <c r="AE6" i="16"/>
  <c r="W29" i="18" l="1"/>
  <c r="Y29" i="18" s="1"/>
  <c r="T29" i="18"/>
  <c r="U29" i="18" s="1"/>
  <c r="V29" i="18" s="1"/>
  <c r="Q21" i="16"/>
  <c r="O21" i="16"/>
  <c r="U21" i="16" s="1"/>
  <c r="N21" i="16"/>
  <c r="I21" i="16"/>
  <c r="G21" i="16"/>
  <c r="Q20" i="16"/>
  <c r="O20" i="16"/>
  <c r="U20" i="16" s="1"/>
  <c r="N20" i="16"/>
  <c r="I20" i="16"/>
  <c r="S20" i="16" s="1"/>
  <c r="G20" i="16"/>
  <c r="Q19" i="16"/>
  <c r="O19" i="16"/>
  <c r="U19" i="16" s="1"/>
  <c r="N19" i="16"/>
  <c r="I19" i="16"/>
  <c r="K19" i="16" s="1"/>
  <c r="G19" i="16"/>
  <c r="Q18" i="16"/>
  <c r="O18" i="16"/>
  <c r="U18" i="16" s="1"/>
  <c r="N18" i="16"/>
  <c r="I18" i="16"/>
  <c r="K18" i="16" s="1"/>
  <c r="G18" i="16"/>
  <c r="Q17" i="16"/>
  <c r="O17" i="16"/>
  <c r="U17" i="16" s="1"/>
  <c r="I17" i="16"/>
  <c r="P17" i="16" s="1"/>
  <c r="R17" i="16" s="1"/>
  <c r="W17" i="16" s="1"/>
  <c r="Y17" i="16" s="1"/>
  <c r="G17" i="16"/>
  <c r="Q16" i="16"/>
  <c r="O16" i="16"/>
  <c r="U16" i="16" s="1"/>
  <c r="N16" i="16"/>
  <c r="I16" i="16"/>
  <c r="G16" i="16"/>
  <c r="Q15" i="16"/>
  <c r="O15" i="16"/>
  <c r="U15" i="16" s="1"/>
  <c r="N15" i="16"/>
  <c r="I15" i="16"/>
  <c r="G15" i="16"/>
  <c r="Q14" i="16"/>
  <c r="O14" i="16"/>
  <c r="U14" i="16" s="1"/>
  <c r="N14" i="16"/>
  <c r="I14" i="16"/>
  <c r="J14" i="16" s="1"/>
  <c r="G14" i="16"/>
  <c r="Q13" i="16"/>
  <c r="O13" i="16"/>
  <c r="U13" i="16" s="1"/>
  <c r="N13" i="16"/>
  <c r="I13" i="16"/>
  <c r="K13" i="16" s="1"/>
  <c r="G13" i="16"/>
  <c r="Q12" i="16"/>
  <c r="O12" i="16"/>
  <c r="U12" i="16" s="1"/>
  <c r="N12" i="16"/>
  <c r="I12" i="16"/>
  <c r="P12" i="16" s="1"/>
  <c r="R12" i="16" s="1"/>
  <c r="W12" i="16" s="1"/>
  <c r="Y12" i="16" s="1"/>
  <c r="G12" i="16"/>
  <c r="Q11" i="16"/>
  <c r="O11" i="16"/>
  <c r="U11" i="16" s="1"/>
  <c r="N11" i="16"/>
  <c r="I11" i="16"/>
  <c r="G11" i="16"/>
  <c r="Q10" i="16"/>
  <c r="O10" i="16"/>
  <c r="U10" i="16" s="1"/>
  <c r="N10" i="16"/>
  <c r="I10" i="16"/>
  <c r="G10" i="16"/>
  <c r="Q9" i="16"/>
  <c r="O9" i="16"/>
  <c r="U9" i="16" s="1"/>
  <c r="N9" i="16"/>
  <c r="I9" i="16"/>
  <c r="G9" i="16"/>
  <c r="Q8" i="16"/>
  <c r="O8" i="16"/>
  <c r="U8" i="16" s="1"/>
  <c r="N8" i="16"/>
  <c r="I8" i="16"/>
  <c r="G8" i="16"/>
  <c r="Q7" i="16"/>
  <c r="O7" i="16"/>
  <c r="U7" i="16" s="1"/>
  <c r="N7" i="16"/>
  <c r="I7" i="16"/>
  <c r="G7" i="16"/>
  <c r="Q6" i="16"/>
  <c r="O6" i="16"/>
  <c r="N6" i="16"/>
  <c r="I6" i="16"/>
  <c r="P6" i="16" s="1"/>
  <c r="G6" i="16"/>
  <c r="Q5" i="16"/>
  <c r="O5" i="16"/>
  <c r="N5" i="16"/>
  <c r="I5" i="16"/>
  <c r="P5" i="16" s="1"/>
  <c r="G5" i="16"/>
  <c r="Q4" i="16"/>
  <c r="O4" i="16"/>
  <c r="U4" i="16" s="1"/>
  <c r="N4" i="16"/>
  <c r="I4" i="16"/>
  <c r="G4" i="16"/>
  <c r="Q3" i="16"/>
  <c r="O3" i="16"/>
  <c r="N3" i="16"/>
  <c r="I3" i="16"/>
  <c r="G3" i="16"/>
  <c r="O2" i="16"/>
  <c r="U2" i="16" s="1"/>
  <c r="N2" i="16"/>
  <c r="I2" i="16"/>
  <c r="R6" i="16" l="1"/>
  <c r="K5" i="16"/>
  <c r="J5" i="16"/>
  <c r="AF6" i="16"/>
  <c r="AG6" i="16" s="1"/>
  <c r="AF5" i="16"/>
  <c r="AG5" i="16" s="1"/>
  <c r="P13" i="16"/>
  <c r="R13" i="16" s="1"/>
  <c r="W13" i="16" s="1"/>
  <c r="Y13" i="16" s="1"/>
  <c r="K15" i="16"/>
  <c r="S15" i="16"/>
  <c r="S8" i="16"/>
  <c r="S6" i="16"/>
  <c r="T6" i="16" s="1"/>
  <c r="E6" i="16" s="1"/>
  <c r="L6" i="16" s="1"/>
  <c r="S21" i="16"/>
  <c r="J6" i="16"/>
  <c r="S11" i="16"/>
  <c r="S19" i="16"/>
  <c r="T19" i="16" s="1"/>
  <c r="E19" i="16" s="1"/>
  <c r="L19" i="16" s="1"/>
  <c r="J19" i="16"/>
  <c r="J18" i="16"/>
  <c r="S18" i="16"/>
  <c r="K6" i="16"/>
  <c r="J13" i="16"/>
  <c r="K4" i="16"/>
  <c r="S4" i="16"/>
  <c r="S7" i="16"/>
  <c r="K7" i="16"/>
  <c r="J12" i="16"/>
  <c r="S12" i="16"/>
  <c r="T12" i="16" s="1"/>
  <c r="E12" i="16" s="1"/>
  <c r="L12" i="16" s="1"/>
  <c r="K14" i="16"/>
  <c r="K17" i="16"/>
  <c r="S17" i="16"/>
  <c r="T17" i="16" s="1"/>
  <c r="E17" i="16" s="1"/>
  <c r="L17" i="16" s="1"/>
  <c r="K10" i="16"/>
  <c r="S10" i="16"/>
  <c r="T10" i="16" s="1"/>
  <c r="E10" i="16" s="1"/>
  <c r="L10" i="16" s="1"/>
  <c r="K8" i="16"/>
  <c r="P18" i="16"/>
  <c r="R18" i="16" s="1"/>
  <c r="W18" i="16" s="1"/>
  <c r="Y18" i="16" s="1"/>
  <c r="P8" i="16"/>
  <c r="R8" i="16" s="1"/>
  <c r="W8" i="16" s="1"/>
  <c r="Y8" i="16" s="1"/>
  <c r="S9" i="16"/>
  <c r="J9" i="16"/>
  <c r="S5" i="16"/>
  <c r="J7" i="16"/>
  <c r="K9" i="16"/>
  <c r="K12" i="16"/>
  <c r="P19" i="16"/>
  <c r="R19" i="16" s="1"/>
  <c r="W19" i="16" s="1"/>
  <c r="Y19" i="16" s="1"/>
  <c r="AF12" i="16"/>
  <c r="AG12" i="16" s="1"/>
  <c r="S13" i="16"/>
  <c r="T13" i="16" s="1"/>
  <c r="E13" i="16" s="1"/>
  <c r="L13" i="16" s="1"/>
  <c r="J8" i="16"/>
  <c r="P4" i="16"/>
  <c r="AF4" i="16" s="1"/>
  <c r="AG4" i="16" s="1"/>
  <c r="S14" i="16"/>
  <c r="T14" i="16" s="1"/>
  <c r="E14" i="16" s="1"/>
  <c r="L14" i="16" s="1"/>
  <c r="K3" i="16"/>
  <c r="S3" i="16"/>
  <c r="T3" i="16" s="1"/>
  <c r="E3" i="16" s="1"/>
  <c r="L3" i="16" s="1"/>
  <c r="P3" i="16"/>
  <c r="R3" i="16" s="1"/>
  <c r="W3" i="16" s="1"/>
  <c r="Y3" i="16" s="1"/>
  <c r="S16" i="16"/>
  <c r="P7" i="16"/>
  <c r="R7" i="16" s="1"/>
  <c r="W7" i="16" s="1"/>
  <c r="Y7" i="16" s="1"/>
  <c r="P14" i="16"/>
  <c r="R14" i="16" s="1"/>
  <c r="W14" i="16" s="1"/>
  <c r="Y14" i="16" s="1"/>
  <c r="AF17" i="16"/>
  <c r="AG17" i="16" s="1"/>
  <c r="J2" i="16"/>
  <c r="S2" i="16"/>
  <c r="P2" i="16"/>
  <c r="K20" i="16"/>
  <c r="K21" i="16"/>
  <c r="J21" i="16"/>
  <c r="P20" i="16"/>
  <c r="R20" i="16" s="1"/>
  <c r="W20" i="16" s="1"/>
  <c r="Y20" i="16" s="1"/>
  <c r="J17" i="16"/>
  <c r="J20" i="16"/>
  <c r="P21" i="16"/>
  <c r="R21" i="16" s="1"/>
  <c r="W21" i="16" s="1"/>
  <c r="Y21" i="16" s="1"/>
  <c r="K16" i="16"/>
  <c r="P15" i="16"/>
  <c r="R15" i="16" s="1"/>
  <c r="W15" i="16" s="1"/>
  <c r="Y15" i="16" s="1"/>
  <c r="P16" i="16"/>
  <c r="R16" i="16" s="1"/>
  <c r="W16" i="16" s="1"/>
  <c r="Y16" i="16" s="1"/>
  <c r="J15" i="16"/>
  <c r="J16" i="16"/>
  <c r="J11" i="16"/>
  <c r="K11" i="16"/>
  <c r="P9" i="16"/>
  <c r="R9" i="16" s="1"/>
  <c r="W9" i="16" s="1"/>
  <c r="Y9" i="16" s="1"/>
  <c r="P10" i="16"/>
  <c r="R10" i="16" s="1"/>
  <c r="W10" i="16" s="1"/>
  <c r="Y10" i="16" s="1"/>
  <c r="P11" i="16"/>
  <c r="R11" i="16" s="1"/>
  <c r="W11" i="16" s="1"/>
  <c r="Y11" i="16" s="1"/>
  <c r="J10" i="16"/>
  <c r="R5" i="16"/>
  <c r="U6" i="16"/>
  <c r="U3" i="16"/>
  <c r="W6" i="16"/>
  <c r="Y6" i="16" s="1"/>
  <c r="U5" i="16"/>
  <c r="W5" i="16"/>
  <c r="Y5" i="16" s="1"/>
  <c r="J3" i="16"/>
  <c r="J4" i="16"/>
  <c r="K2" i="16"/>
  <c r="T18" i="16" l="1"/>
  <c r="E18" i="16" s="1"/>
  <c r="L18" i="16" s="1"/>
  <c r="R4" i="16"/>
  <c r="W4" i="16" s="1"/>
  <c r="Y4" i="16" s="1"/>
  <c r="T8" i="16"/>
  <c r="E8" i="16" s="1"/>
  <c r="L8" i="16" s="1"/>
  <c r="T21" i="16"/>
  <c r="E21" i="16" s="1"/>
  <c r="L21" i="16" s="1"/>
  <c r="T15" i="16"/>
  <c r="E15" i="16" s="1"/>
  <c r="L15" i="16" s="1"/>
  <c r="AF8" i="16"/>
  <c r="AG8" i="16" s="1"/>
  <c r="AF11" i="16"/>
  <c r="AG11" i="16" s="1"/>
  <c r="AF16" i="16"/>
  <c r="AG16" i="16" s="1"/>
  <c r="T4" i="16"/>
  <c r="E4" i="16" s="1"/>
  <c r="L4" i="16" s="1"/>
  <c r="AF13" i="16"/>
  <c r="AG13" i="16" s="1"/>
  <c r="AF15" i="16"/>
  <c r="AG15" i="16" s="1"/>
  <c r="AF3" i="16"/>
  <c r="AG3" i="16" s="1"/>
  <c r="AF19" i="16"/>
  <c r="AG19" i="16" s="1"/>
  <c r="AF18" i="16"/>
  <c r="AG18" i="16" s="1"/>
  <c r="AF20" i="16"/>
  <c r="AG20" i="16" s="1"/>
  <c r="AF7" i="16"/>
  <c r="AG7" i="16" s="1"/>
  <c r="AF9" i="16"/>
  <c r="AG9" i="16" s="1"/>
  <c r="T7" i="16"/>
  <c r="E7" i="16" s="1"/>
  <c r="L7" i="16" s="1"/>
  <c r="T5" i="16"/>
  <c r="E5" i="16" s="1"/>
  <c r="L5" i="16" s="1"/>
  <c r="AF21" i="16"/>
  <c r="AG21" i="16" s="1"/>
  <c r="AF10" i="16"/>
  <c r="AG10" i="16" s="1"/>
  <c r="AF14" i="16"/>
  <c r="AG14" i="16" s="1"/>
  <c r="AF2" i="16"/>
  <c r="AG2" i="16" s="1"/>
  <c r="R2" i="16"/>
  <c r="W2" i="16" s="1"/>
  <c r="Y2" i="16" s="1"/>
  <c r="T2" i="16"/>
  <c r="E2" i="16" s="1"/>
  <c r="L2" i="16" s="1"/>
  <c r="T20" i="16"/>
  <c r="E20" i="16" s="1"/>
  <c r="L20" i="16" s="1"/>
  <c r="T16" i="16"/>
  <c r="E16" i="16" s="1"/>
  <c r="L16" i="16" s="1"/>
  <c r="T11" i="16"/>
  <c r="E11" i="16" s="1"/>
  <c r="L11" i="16" s="1"/>
  <c r="T9" i="16"/>
  <c r="E9" i="16" s="1"/>
  <c r="L9" i="16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" i="3"/>
  <c r="Q23" i="3" l="1"/>
  <c r="O23" i="3"/>
  <c r="N23" i="3"/>
  <c r="L23" i="3"/>
  <c r="G23" i="3"/>
  <c r="S23" i="3" s="1"/>
  <c r="Q22" i="3"/>
  <c r="O22" i="3"/>
  <c r="N22" i="3"/>
  <c r="L22" i="3"/>
  <c r="G22" i="3"/>
  <c r="S22" i="3" s="1"/>
  <c r="Q21" i="3"/>
  <c r="O21" i="3"/>
  <c r="N21" i="3"/>
  <c r="L21" i="3"/>
  <c r="G21" i="3"/>
  <c r="S21" i="3" s="1"/>
  <c r="Q20" i="3"/>
  <c r="O20" i="3"/>
  <c r="N20" i="3"/>
  <c r="L20" i="3"/>
  <c r="G20" i="3"/>
  <c r="S20" i="3" s="1"/>
  <c r="Q19" i="3"/>
  <c r="O19" i="3"/>
  <c r="N19" i="3"/>
  <c r="L19" i="3"/>
  <c r="G19" i="3"/>
  <c r="S19" i="3" s="1"/>
  <c r="Q18" i="3"/>
  <c r="O18" i="3"/>
  <c r="N18" i="3"/>
  <c r="L18" i="3"/>
  <c r="G18" i="3"/>
  <c r="S18" i="3" s="1"/>
  <c r="Q17" i="3"/>
  <c r="AG17" i="3" s="1"/>
  <c r="AH17" i="3" s="1"/>
  <c r="O17" i="3"/>
  <c r="N17" i="3"/>
  <c r="L17" i="3"/>
  <c r="G17" i="3"/>
  <c r="P17" i="3" s="1"/>
  <c r="Q16" i="3"/>
  <c r="O16" i="3"/>
  <c r="N16" i="3"/>
  <c r="L16" i="3"/>
  <c r="G16" i="3"/>
  <c r="S16" i="3" s="1"/>
  <c r="Q15" i="3"/>
  <c r="O15" i="3"/>
  <c r="N15" i="3"/>
  <c r="L15" i="3"/>
  <c r="G15" i="3"/>
  <c r="S15" i="3" s="1"/>
  <c r="Q14" i="3"/>
  <c r="O14" i="3"/>
  <c r="N14" i="3"/>
  <c r="L14" i="3"/>
  <c r="G14" i="3"/>
  <c r="K14" i="3" s="1"/>
  <c r="Q13" i="3"/>
  <c r="O13" i="3"/>
  <c r="N13" i="3"/>
  <c r="L13" i="3"/>
  <c r="G13" i="3"/>
  <c r="S13" i="3" s="1"/>
  <c r="Q12" i="3"/>
  <c r="O12" i="3"/>
  <c r="N12" i="3"/>
  <c r="L12" i="3"/>
  <c r="G12" i="3"/>
  <c r="S12" i="3" s="1"/>
  <c r="Q11" i="3"/>
  <c r="O11" i="3"/>
  <c r="N11" i="3"/>
  <c r="L11" i="3"/>
  <c r="G11" i="3"/>
  <c r="S11" i="3" s="1"/>
  <c r="Q10" i="3"/>
  <c r="O10" i="3"/>
  <c r="N10" i="3"/>
  <c r="L10" i="3"/>
  <c r="G10" i="3"/>
  <c r="S10" i="3" s="1"/>
  <c r="Q9" i="3"/>
  <c r="O9" i="3"/>
  <c r="N9" i="3"/>
  <c r="L9" i="3"/>
  <c r="G9" i="3"/>
  <c r="S9" i="3" s="1"/>
  <c r="Q8" i="3"/>
  <c r="O8" i="3"/>
  <c r="N8" i="3"/>
  <c r="L8" i="3"/>
  <c r="G8" i="3"/>
  <c r="S8" i="3" s="1"/>
  <c r="Q7" i="3"/>
  <c r="O7" i="3"/>
  <c r="N7" i="3"/>
  <c r="L7" i="3"/>
  <c r="G7" i="3"/>
  <c r="S7" i="3" s="1"/>
  <c r="Q6" i="3"/>
  <c r="O6" i="3"/>
  <c r="N6" i="3"/>
  <c r="L6" i="3"/>
  <c r="G6" i="3"/>
  <c r="S6" i="3" s="1"/>
  <c r="Q5" i="3"/>
  <c r="O5" i="3"/>
  <c r="N5" i="3"/>
  <c r="L5" i="3"/>
  <c r="G5" i="3"/>
  <c r="S5" i="3" s="1"/>
  <c r="Q4" i="3"/>
  <c r="O4" i="3"/>
  <c r="N4" i="3"/>
  <c r="L4" i="3"/>
  <c r="G4" i="3"/>
  <c r="S4" i="3" s="1"/>
  <c r="Q3" i="3"/>
  <c r="O3" i="3"/>
  <c r="N3" i="3"/>
  <c r="L3" i="3"/>
  <c r="G3" i="3"/>
  <c r="S3" i="3" s="1"/>
  <c r="Q2" i="3"/>
  <c r="O2" i="3"/>
  <c r="N2" i="3"/>
  <c r="L2" i="3"/>
  <c r="G2" i="3"/>
  <c r="S2" i="3" s="1"/>
  <c r="S14" i="3" l="1"/>
  <c r="S17" i="3"/>
  <c r="J19" i="3"/>
  <c r="R17" i="3"/>
  <c r="X17" i="3" s="1"/>
  <c r="Z17" i="3" s="1"/>
  <c r="K5" i="3"/>
  <c r="P5" i="3"/>
  <c r="R5" i="3" s="1"/>
  <c r="X5" i="3" s="1"/>
  <c r="Z5" i="3" s="1"/>
  <c r="K19" i="3"/>
  <c r="K10" i="3"/>
  <c r="P14" i="3"/>
  <c r="R14" i="3" s="1"/>
  <c r="X14" i="3" s="1"/>
  <c r="Z14" i="3" s="1"/>
  <c r="P10" i="3"/>
  <c r="R10" i="3" s="1"/>
  <c r="X10" i="3" s="1"/>
  <c r="Z10" i="3" s="1"/>
  <c r="J10" i="3"/>
  <c r="P16" i="3"/>
  <c r="R16" i="3" s="1"/>
  <c r="X16" i="3" s="1"/>
  <c r="Z16" i="3" s="1"/>
  <c r="K16" i="3"/>
  <c r="J16" i="3"/>
  <c r="K21" i="3"/>
  <c r="J21" i="3"/>
  <c r="P21" i="3"/>
  <c r="R21" i="3" s="1"/>
  <c r="X21" i="3" s="1"/>
  <c r="Z21" i="3" s="1"/>
  <c r="K13" i="3"/>
  <c r="P13" i="3"/>
  <c r="R13" i="3" s="1"/>
  <c r="X13" i="3" s="1"/>
  <c r="Z13" i="3" s="1"/>
  <c r="J13" i="3"/>
  <c r="K23" i="3"/>
  <c r="J23" i="3"/>
  <c r="P23" i="3"/>
  <c r="R23" i="3" s="1"/>
  <c r="X23" i="3" s="1"/>
  <c r="Z23" i="3" s="1"/>
  <c r="P18" i="3"/>
  <c r="R18" i="3" s="1"/>
  <c r="X18" i="3" s="1"/>
  <c r="Z18" i="3" s="1"/>
  <c r="K18" i="3"/>
  <c r="J18" i="3"/>
  <c r="P22" i="3"/>
  <c r="R22" i="3" s="1"/>
  <c r="X22" i="3" s="1"/>
  <c r="Z22" i="3" s="1"/>
  <c r="K22" i="3"/>
  <c r="J22" i="3"/>
  <c r="P15" i="3"/>
  <c r="R15" i="3" s="1"/>
  <c r="X15" i="3" s="1"/>
  <c r="Z15" i="3" s="1"/>
  <c r="K15" i="3"/>
  <c r="J15" i="3"/>
  <c r="J20" i="3"/>
  <c r="P20" i="3"/>
  <c r="R20" i="3" s="1"/>
  <c r="X20" i="3" s="1"/>
  <c r="Z20" i="3" s="1"/>
  <c r="K20" i="3"/>
  <c r="K17" i="3"/>
  <c r="J17" i="3"/>
  <c r="P19" i="3"/>
  <c r="R19" i="3" s="1"/>
  <c r="X19" i="3" s="1"/>
  <c r="Z19" i="3" s="1"/>
  <c r="J14" i="3"/>
  <c r="P2" i="3"/>
  <c r="R2" i="3" s="1"/>
  <c r="X2" i="3" s="1"/>
  <c r="Z2" i="3" s="1"/>
  <c r="K2" i="3"/>
  <c r="J2" i="3"/>
  <c r="P4" i="3"/>
  <c r="R4" i="3" s="1"/>
  <c r="X4" i="3" s="1"/>
  <c r="Z4" i="3" s="1"/>
  <c r="K4" i="3"/>
  <c r="J4" i="3"/>
  <c r="K12" i="3"/>
  <c r="J12" i="3"/>
  <c r="P12" i="3"/>
  <c r="R12" i="3" s="1"/>
  <c r="X12" i="3" s="1"/>
  <c r="Z12" i="3" s="1"/>
  <c r="P9" i="3"/>
  <c r="R9" i="3" s="1"/>
  <c r="X9" i="3" s="1"/>
  <c r="Z9" i="3" s="1"/>
  <c r="J9" i="3"/>
  <c r="K9" i="3"/>
  <c r="P6" i="3"/>
  <c r="R6" i="3" s="1"/>
  <c r="X6" i="3" s="1"/>
  <c r="Z6" i="3" s="1"/>
  <c r="K6" i="3"/>
  <c r="J6" i="3"/>
  <c r="J3" i="3"/>
  <c r="P3" i="3"/>
  <c r="R3" i="3" s="1"/>
  <c r="X3" i="3" s="1"/>
  <c r="Z3" i="3" s="1"/>
  <c r="K3" i="3"/>
  <c r="P11" i="3"/>
  <c r="R11" i="3" s="1"/>
  <c r="X11" i="3" s="1"/>
  <c r="Z11" i="3" s="1"/>
  <c r="J11" i="3"/>
  <c r="K11" i="3"/>
  <c r="P8" i="3"/>
  <c r="R8" i="3" s="1"/>
  <c r="X8" i="3" s="1"/>
  <c r="Z8" i="3" s="1"/>
  <c r="J8" i="3"/>
  <c r="K8" i="3"/>
  <c r="P7" i="3"/>
  <c r="R7" i="3" s="1"/>
  <c r="X7" i="3" s="1"/>
  <c r="Z7" i="3" s="1"/>
  <c r="K7" i="3"/>
  <c r="J7" i="3"/>
  <c r="J5" i="3"/>
  <c r="AG13" i="3" l="1"/>
  <c r="AH13" i="3" s="1"/>
  <c r="AG15" i="3"/>
  <c r="AH15" i="3" s="1"/>
  <c r="AG12" i="3"/>
  <c r="AH12" i="3" s="1"/>
  <c r="AG8" i="3"/>
  <c r="AH8" i="3" s="1"/>
  <c r="AG6" i="3"/>
  <c r="AH6" i="3" s="1"/>
  <c r="AG16" i="3"/>
  <c r="AH16" i="3" s="1"/>
  <c r="AG22" i="3"/>
  <c r="AH22" i="3" s="1"/>
  <c r="AG18" i="3"/>
  <c r="AH18" i="3" s="1"/>
  <c r="AG19" i="3"/>
  <c r="AH19" i="3" s="1"/>
  <c r="AG11" i="3"/>
  <c r="AH11" i="3" s="1"/>
  <c r="AG9" i="3"/>
  <c r="AH9" i="3" s="1"/>
  <c r="AG14" i="3"/>
  <c r="AH14" i="3" s="1"/>
  <c r="AG23" i="3"/>
  <c r="AH23" i="3" s="1"/>
  <c r="AG20" i="3"/>
  <c r="AH20" i="3" s="1"/>
  <c r="AG7" i="3"/>
  <c r="AH7" i="3" s="1"/>
  <c r="AG21" i="3"/>
  <c r="AH21" i="3" s="1"/>
  <c r="AG3" i="3"/>
  <c r="AH3" i="3" s="1"/>
  <c r="AG5" i="3"/>
  <c r="AH5" i="3" s="1"/>
  <c r="AG10" i="3"/>
  <c r="AH10" i="3" s="1"/>
  <c r="AG4" i="3"/>
  <c r="AH4" i="3" s="1"/>
  <c r="AG2" i="3"/>
  <c r="AH2" i="3" s="1"/>
  <c r="T13" i="3"/>
  <c r="U13" i="3" s="1"/>
  <c r="W13" i="3" s="1"/>
  <c r="T11" i="3"/>
  <c r="U11" i="3" s="1"/>
  <c r="W11" i="3" s="1"/>
  <c r="T5" i="3"/>
  <c r="U5" i="3" s="1"/>
  <c r="W5" i="3" s="1"/>
  <c r="T16" i="3"/>
  <c r="U16" i="3" s="1"/>
  <c r="W16" i="3" s="1"/>
  <c r="T10" i="3"/>
  <c r="U10" i="3" s="1"/>
  <c r="W10" i="3" s="1"/>
  <c r="T17" i="3"/>
  <c r="U17" i="3" s="1"/>
  <c r="W17" i="3" s="1"/>
  <c r="T2" i="3"/>
  <c r="U2" i="3" s="1"/>
  <c r="W2" i="3" s="1"/>
  <c r="T9" i="3"/>
  <c r="U9" i="3" s="1"/>
  <c r="W9" i="3" s="1"/>
  <c r="T14" i="3"/>
  <c r="U14" i="3" s="1"/>
  <c r="W14" i="3" s="1"/>
  <c r="T22" i="3"/>
  <c r="U22" i="3" s="1"/>
  <c r="W22" i="3" s="1"/>
  <c r="T3" i="3"/>
  <c r="U3" i="3" s="1"/>
  <c r="W3" i="3" s="1"/>
  <c r="T7" i="3"/>
  <c r="U7" i="3" s="1"/>
  <c r="W7" i="3" s="1"/>
  <c r="T23" i="3"/>
  <c r="U23" i="3" s="1"/>
  <c r="W23" i="3" s="1"/>
  <c r="T15" i="3"/>
  <c r="U15" i="3" s="1"/>
  <c r="W15" i="3" s="1"/>
  <c r="T19" i="3"/>
  <c r="U19" i="3" s="1"/>
  <c r="W19" i="3" s="1"/>
  <c r="T21" i="3"/>
  <c r="U21" i="3" s="1"/>
  <c r="W21" i="3" s="1"/>
  <c r="T20" i="3"/>
  <c r="U20" i="3" s="1"/>
  <c r="W20" i="3" s="1"/>
  <c r="T18" i="3"/>
  <c r="U18" i="3" s="1"/>
  <c r="W18" i="3" s="1"/>
  <c r="T4" i="3"/>
  <c r="U4" i="3" s="1"/>
  <c r="W4" i="3" s="1"/>
  <c r="T12" i="3"/>
  <c r="U12" i="3" s="1"/>
  <c r="W12" i="3" s="1"/>
  <c r="T6" i="3"/>
  <c r="U6" i="3" s="1"/>
  <c r="W6" i="3" s="1"/>
  <c r="T8" i="3"/>
  <c r="U8" i="3" s="1"/>
  <c r="W8" i="3" s="1"/>
</calcChain>
</file>

<file path=xl/sharedStrings.xml><?xml version="1.0" encoding="utf-8"?>
<sst xmlns="http://schemas.openxmlformats.org/spreadsheetml/2006/main" count="170" uniqueCount="38">
  <si>
    <t>序号</t>
    <phoneticPr fontId="1" type="noConversion"/>
  </si>
  <si>
    <t>基层fys</t>
    <phoneticPr fontId="1" type="noConversion"/>
  </si>
  <si>
    <t>复层fyc</t>
    <phoneticPr fontId="1" type="noConversion"/>
  </si>
  <si>
    <t>复合比beta</t>
    <phoneticPr fontId="1" type="noConversion"/>
  </si>
  <si>
    <t>宽度B</t>
    <phoneticPr fontId="1" type="noConversion"/>
  </si>
  <si>
    <t>厚度t</t>
    <phoneticPr fontId="1" type="noConversion"/>
  </si>
  <si>
    <t>宽厚比c/t</t>
    <phoneticPr fontId="1" type="noConversion"/>
  </si>
  <si>
    <t>复合钢屈服强度fy</t>
    <phoneticPr fontId="1" type="noConversion"/>
  </si>
  <si>
    <t>弹性模量E</t>
    <phoneticPr fontId="1" type="noConversion"/>
  </si>
  <si>
    <t>面积Av</t>
    <phoneticPr fontId="1" type="noConversion"/>
  </si>
  <si>
    <t>面积Ac</t>
    <phoneticPr fontId="1" type="noConversion"/>
  </si>
  <si>
    <t>总面积A</t>
    <phoneticPr fontId="1" type="noConversion"/>
  </si>
  <si>
    <t>Af0.2/kN</t>
    <phoneticPr fontId="1" type="noConversion"/>
  </si>
  <si>
    <t>Nu/kN</t>
    <phoneticPr fontId="1" type="noConversion"/>
  </si>
  <si>
    <t>Nu/Ny</t>
    <phoneticPr fontId="1" type="noConversion"/>
  </si>
  <si>
    <t>fus</t>
    <phoneticPr fontId="1" type="noConversion"/>
  </si>
  <si>
    <t>fuc</t>
    <phoneticPr fontId="1" type="noConversion"/>
  </si>
  <si>
    <t>fys,corner</t>
    <phoneticPr fontId="1" type="noConversion"/>
  </si>
  <si>
    <t>fyc,corner</t>
    <phoneticPr fontId="1" type="noConversion"/>
  </si>
  <si>
    <t>f0.2,corner</t>
    <phoneticPr fontId="1" type="noConversion"/>
  </si>
  <si>
    <t>Afya/kN</t>
    <phoneticPr fontId="1" type="noConversion"/>
  </si>
  <si>
    <t>Nu/Nya</t>
    <phoneticPr fontId="1" type="noConversion"/>
  </si>
  <si>
    <t>转角外半径nt,n=</t>
    <phoneticPr fontId="1" type="noConversion"/>
  </si>
  <si>
    <t>回转半径i</t>
    <phoneticPr fontId="1" type="noConversion"/>
  </si>
  <si>
    <t>整体缺陷</t>
    <phoneticPr fontId="1" type="noConversion"/>
  </si>
  <si>
    <t>局部缺陷</t>
    <phoneticPr fontId="1" type="noConversion"/>
  </si>
  <si>
    <t>λp</t>
    <phoneticPr fontId="1" type="noConversion"/>
  </si>
  <si>
    <t>λc</t>
    <phoneticPr fontId="1" type="noConversion"/>
  </si>
  <si>
    <t>惯性矩I</t>
    <phoneticPr fontId="1" type="noConversion"/>
  </si>
  <si>
    <t>长细比λ</t>
    <phoneticPr fontId="1" type="noConversion"/>
  </si>
  <si>
    <t>长度L</t>
    <phoneticPr fontId="1" type="noConversion"/>
  </si>
  <si>
    <t>宽度bf</t>
    <phoneticPr fontId="1" type="noConversion"/>
  </si>
  <si>
    <t>编号</t>
    <phoneticPr fontId="1" type="noConversion"/>
  </si>
  <si>
    <t>有</t>
    <phoneticPr fontId="1" type="noConversion"/>
  </si>
  <si>
    <t>无</t>
    <phoneticPr fontId="1" type="noConversion"/>
  </si>
  <si>
    <t>换方向</t>
    <phoneticPr fontId="1" type="noConversion"/>
  </si>
  <si>
    <t>类别</t>
    <phoneticPr fontId="1" type="noConversion"/>
  </si>
  <si>
    <t>材料组合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</si>
</sst>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2" fillId="5" borderId="0" xfId="0" applyFont="1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20B6-5405-4CF5-A4FA-CBF222EFE8A9}">
  <dimension ref="A1:AG101"/>
  <sheetViews>
    <sheetView workbookViewId="0">
      <selection activeCell="E2" sqref="E2:E12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v>2000</v>
      </c>
      <c r="F2">
        <v>270</v>
      </c>
      <c r="G2">
        <f>F2+2*H2*M2</f>
        <v>300</v>
      </c>
      <c r="H2">
        <v>6</v>
      </c>
      <c r="I2">
        <f>F2/H2</f>
        <v>45</v>
      </c>
      <c r="J2">
        <f>SQRT(12*(1-0.3^2)*I2^2*N2/(4*PI()^2*O2))</f>
        <v>0.94604146249571819</v>
      </c>
      <c r="K2">
        <f>H2*I2/100</f>
        <v>2.7</v>
      </c>
      <c r="L2">
        <f t="shared" ref="L2:L34" si="0">E2/1000</f>
        <v>2</v>
      </c>
      <c r="M2">
        <v>2.5</v>
      </c>
      <c r="N2">
        <f>D2*C2+(1-D2)*B2</f>
        <v>325</v>
      </c>
      <c r="O2">
        <f>193000*D2+(1-D2)*206000</f>
        <v>203400</v>
      </c>
      <c r="P2">
        <f>H2*I2*H2*4</f>
        <v>6480</v>
      </c>
      <c r="Q2">
        <f>PI()*(M2*H2)^2-PI()*((M2-1)*H2)^2</f>
        <v>452.38934211693021</v>
      </c>
      <c r="R2">
        <f>P2+Q2</f>
        <v>6932.3893421169305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98937843.544753</v>
      </c>
      <c r="T2">
        <f>SQRT(S2/R2)</f>
        <v>119.46474135158041</v>
      </c>
      <c r="U2">
        <f>E2/T2</f>
        <v>16.741341230665476</v>
      </c>
      <c r="V2">
        <f>U2/PI()*SQRT(N2/O2)</f>
        <v>0.21301323206637926</v>
      </c>
      <c r="W2">
        <f>R2*N2/1000</f>
        <v>2253.0265361880024</v>
      </c>
      <c r="X2">
        <v>1514.2</v>
      </c>
      <c r="Y2">
        <f>X2/W2</f>
        <v>0.67207375309566642</v>
      </c>
      <c r="Z2" t="str">
        <f>"MC-L"&amp;A2</f>
        <v>MC-L1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519.7880493042129</v>
      </c>
      <c r="AD2">
        <f>1.673*C2/(M2-1)^0.126</f>
        <v>325.88344850615891</v>
      </c>
      <c r="AE2">
        <f>AC2*(1-((2*M2*H2-D2*H2)/(2*M2*H2-H2)*D2))+AD2*((2*M2*H2-D2*H2)/(2*M2*H2-H2)*D2)</f>
        <v>473.25094511267991</v>
      </c>
      <c r="AF2">
        <f>(AE2*Q2+N2*P2)/1000</f>
        <v>2320.0936837157406</v>
      </c>
      <c r="AG2">
        <f t="shared" ref="AG2:AG34" si="1">X2/AF2</f>
        <v>0.65264605935004172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v>3000</v>
      </c>
      <c r="F3">
        <v>270</v>
      </c>
      <c r="G3">
        <f t="shared" ref="G3:G34" si="2">F3+2*H3*M3</f>
        <v>300</v>
      </c>
      <c r="H3">
        <v>6</v>
      </c>
      <c r="I3">
        <f t="shared" ref="I3:I34" si="3">F3/H3</f>
        <v>45</v>
      </c>
      <c r="J3">
        <f>SQRT(12*(1-0.3^2)*I3^2*N3/(4*PI()^2*O3))</f>
        <v>0.94604146249571819</v>
      </c>
      <c r="K3">
        <f t="shared" ref="K3:K12" si="4">H3*I3/100</f>
        <v>2.7</v>
      </c>
      <c r="L3">
        <f t="shared" si="0"/>
        <v>3</v>
      </c>
      <c r="M3">
        <v>2.5</v>
      </c>
      <c r="N3">
        <f t="shared" ref="N3:N34" si="5">D3*C3+(1-D3)*B3</f>
        <v>325</v>
      </c>
      <c r="O3">
        <f>193000*D3+(1-D3)*206000</f>
        <v>203400</v>
      </c>
      <c r="P3">
        <f>H3*I3*H3*4</f>
        <v>6480</v>
      </c>
      <c r="Q3">
        <f>PI()*(M3*H3)^2-PI()*((M3-1)*H3)^2</f>
        <v>452.38934211693021</v>
      </c>
      <c r="R3">
        <f t="shared" ref="R3:R12" si="6">P3+Q3</f>
        <v>6932.3893421169305</v>
      </c>
      <c r="S3">
        <f t="shared" ref="S3:S34" si="7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98937843.544753</v>
      </c>
      <c r="T3">
        <f t="shared" ref="T3:T12" si="8">SQRT(S3/R3)</f>
        <v>119.46474135158041</v>
      </c>
      <c r="U3">
        <f t="shared" ref="U3:U12" si="9">E3/T3</f>
        <v>25.112011845998214</v>
      </c>
      <c r="V3">
        <f t="shared" ref="V3:V12" si="10">U3/PI()*SQRT(N3/O3)</f>
        <v>0.3195198480995689</v>
      </c>
      <c r="W3">
        <f t="shared" ref="W3:W12" si="11">R3*N3/1000</f>
        <v>2253.0265361880024</v>
      </c>
      <c r="X3">
        <v>1525.9</v>
      </c>
      <c r="Y3">
        <f t="shared" ref="Y3:Y34" si="12">X3/W3</f>
        <v>0.67726676783032458</v>
      </c>
      <c r="Z3" t="str">
        <f t="shared" ref="Z3:Z34" si="13">"MC-L"&amp;A3</f>
        <v>MC-L2</v>
      </c>
      <c r="AA3">
        <f t="shared" ref="AA3:AA34" si="14">IF(B3=235,360,IF(B3=355,490,560))</f>
        <v>490</v>
      </c>
      <c r="AB3">
        <f>C3/(0.2+185*C3/193000)</f>
        <v>517.02058150931066</v>
      </c>
      <c r="AC3">
        <f t="shared" ref="AC3:AC34" si="15">B3*(2.769*(AA3/B3)-0.581*(AA3/B3)^2-1.182)/((M3-1)^(0.314*(AA3/B3)-0.32))</f>
        <v>519.7880493042129</v>
      </c>
      <c r="AD3">
        <f t="shared" ref="AD3:AD34" si="16">1.673*C3/(M3-1)^0.126</f>
        <v>325.88344850615891</v>
      </c>
      <c r="AE3">
        <f t="shared" ref="AE3:AE34" si="17">AC3*(1-((2*M3*H3-D3*H3)/(2*M3*H3-H3)*D3))+AD3*((2*M3*H3-D3*H3)/(2*M3*H3-H3)*D3)</f>
        <v>473.25094511267991</v>
      </c>
      <c r="AF3">
        <f t="shared" ref="AF3:AF12" si="18">(AE3*Q3+N3*P3)/1000</f>
        <v>2320.0936837157406</v>
      </c>
      <c r="AG3">
        <f t="shared" si="1"/>
        <v>0.65768895916142422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v>4000</v>
      </c>
      <c r="F4">
        <v>270</v>
      </c>
      <c r="G4">
        <f t="shared" si="2"/>
        <v>300</v>
      </c>
      <c r="H4">
        <v>6</v>
      </c>
      <c r="I4">
        <f t="shared" si="3"/>
        <v>45</v>
      </c>
      <c r="J4">
        <f>SQRT(12*(1-0.3^2)*I4^2*N4/(4*PI()^2*O4))</f>
        <v>0.94604146249571819</v>
      </c>
      <c r="K4">
        <f t="shared" si="4"/>
        <v>2.7</v>
      </c>
      <c r="L4">
        <f t="shared" si="0"/>
        <v>4</v>
      </c>
      <c r="M4">
        <v>2.5</v>
      </c>
      <c r="N4">
        <f t="shared" si="5"/>
        <v>325</v>
      </c>
      <c r="O4">
        <f>193000*D4+(1-D4)*206000</f>
        <v>203400</v>
      </c>
      <c r="P4">
        <f>H4*I4*H4*4</f>
        <v>6480</v>
      </c>
      <c r="Q4">
        <f>PI()*(M4*H4)^2-PI()*((M4-1)*H4)^2</f>
        <v>452.38934211693021</v>
      </c>
      <c r="R4">
        <f t="shared" si="6"/>
        <v>6932.3893421169305</v>
      </c>
      <c r="S4">
        <f t="shared" si="7"/>
        <v>98937843.544753</v>
      </c>
      <c r="T4">
        <f t="shared" si="8"/>
        <v>119.46474135158041</v>
      </c>
      <c r="U4">
        <f t="shared" si="9"/>
        <v>33.482682461330953</v>
      </c>
      <c r="V4">
        <f t="shared" si="10"/>
        <v>0.42602646413275852</v>
      </c>
      <c r="W4">
        <f t="shared" si="11"/>
        <v>2253.0265361880024</v>
      </c>
      <c r="X4">
        <v>1504.7</v>
      </c>
      <c r="Y4">
        <f t="shared" si="12"/>
        <v>0.6678572026700893</v>
      </c>
      <c r="Z4" t="str">
        <f t="shared" si="13"/>
        <v>MC-L3</v>
      </c>
      <c r="AA4">
        <f t="shared" si="14"/>
        <v>490</v>
      </c>
      <c r="AB4">
        <f>C4/(0.2+185*C4/193000)</f>
        <v>517.02058150931066</v>
      </c>
      <c r="AC4">
        <f t="shared" si="15"/>
        <v>519.7880493042129</v>
      </c>
      <c r="AD4">
        <f t="shared" si="16"/>
        <v>325.88344850615891</v>
      </c>
      <c r="AE4">
        <f t="shared" si="17"/>
        <v>473.25094511267991</v>
      </c>
      <c r="AF4">
        <f t="shared" si="18"/>
        <v>2320.0936837157406</v>
      </c>
      <c r="AG4">
        <f t="shared" si="1"/>
        <v>0.64855139711003018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v>5000</v>
      </c>
      <c r="F5">
        <v>270</v>
      </c>
      <c r="G5">
        <f t="shared" si="2"/>
        <v>300</v>
      </c>
      <c r="H5">
        <v>6</v>
      </c>
      <c r="I5">
        <f t="shared" si="3"/>
        <v>45</v>
      </c>
      <c r="J5">
        <f t="shared" ref="J5:J12" si="19">SQRT(12*(1-0.3^2)*I5^2*N5/(4*PI()^2*O5))</f>
        <v>0.94604146249571819</v>
      </c>
      <c r="K5">
        <f t="shared" si="4"/>
        <v>2.7</v>
      </c>
      <c r="L5">
        <f t="shared" si="0"/>
        <v>5</v>
      </c>
      <c r="M5">
        <v>2.5</v>
      </c>
      <c r="N5">
        <f t="shared" si="5"/>
        <v>325</v>
      </c>
      <c r="O5">
        <f t="shared" ref="O5:O12" si="20">193000*D5+(1-D5)*206000</f>
        <v>203400</v>
      </c>
      <c r="P5">
        <f t="shared" ref="P5:P12" si="21">H5*I5*H5*4</f>
        <v>6480</v>
      </c>
      <c r="Q5">
        <f t="shared" ref="Q5:Q12" si="22">PI()*(M5*H5)^2-PI()*((M5-1)*H5)^2</f>
        <v>452.38934211693021</v>
      </c>
      <c r="R5">
        <f t="shared" si="6"/>
        <v>6932.3893421169305</v>
      </c>
      <c r="S5">
        <f t="shared" si="7"/>
        <v>98937843.544753</v>
      </c>
      <c r="T5">
        <f t="shared" si="8"/>
        <v>119.46474135158041</v>
      </c>
      <c r="U5">
        <f t="shared" si="9"/>
        <v>41.853353076663687</v>
      </c>
      <c r="V5">
        <f t="shared" si="10"/>
        <v>0.53253308016594814</v>
      </c>
      <c r="W5">
        <f t="shared" si="11"/>
        <v>2253.0265361880024</v>
      </c>
      <c r="X5">
        <v>1488.4</v>
      </c>
      <c r="Y5">
        <f t="shared" si="12"/>
        <v>0.66062248983462546</v>
      </c>
      <c r="Z5" t="str">
        <f t="shared" si="13"/>
        <v>MC-L4</v>
      </c>
      <c r="AA5">
        <f t="shared" si="14"/>
        <v>490</v>
      </c>
      <c r="AB5">
        <f t="shared" ref="AB5:AB12" si="23">C5/(0.2+185*C5/193000)</f>
        <v>517.02058150931066</v>
      </c>
      <c r="AC5">
        <f t="shared" si="15"/>
        <v>519.7880493042129</v>
      </c>
      <c r="AD5">
        <f t="shared" si="16"/>
        <v>325.88344850615891</v>
      </c>
      <c r="AE5">
        <f t="shared" si="17"/>
        <v>473.25094511267991</v>
      </c>
      <c r="AF5">
        <f t="shared" si="18"/>
        <v>2320.0936837157406</v>
      </c>
      <c r="AG5">
        <f t="shared" si="1"/>
        <v>0.64152581874032633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v>6000</v>
      </c>
      <c r="F6">
        <v>270</v>
      </c>
      <c r="G6">
        <f t="shared" si="2"/>
        <v>300</v>
      </c>
      <c r="H6">
        <v>6</v>
      </c>
      <c r="I6">
        <f t="shared" si="3"/>
        <v>45</v>
      </c>
      <c r="J6">
        <f t="shared" si="19"/>
        <v>0.94604146249571819</v>
      </c>
      <c r="K6">
        <f t="shared" si="4"/>
        <v>2.7</v>
      </c>
      <c r="L6">
        <f t="shared" si="0"/>
        <v>6</v>
      </c>
      <c r="M6">
        <v>2.5</v>
      </c>
      <c r="N6">
        <f t="shared" si="5"/>
        <v>325</v>
      </c>
      <c r="O6">
        <f t="shared" si="20"/>
        <v>203400</v>
      </c>
      <c r="P6">
        <f t="shared" si="21"/>
        <v>6480</v>
      </c>
      <c r="Q6">
        <f t="shared" si="22"/>
        <v>452.38934211693021</v>
      </c>
      <c r="R6">
        <f t="shared" si="6"/>
        <v>6932.3893421169305</v>
      </c>
      <c r="S6">
        <f t="shared" si="7"/>
        <v>98937843.544753</v>
      </c>
      <c r="T6">
        <f t="shared" si="8"/>
        <v>119.46474135158041</v>
      </c>
      <c r="U6">
        <f t="shared" si="9"/>
        <v>50.224023691996429</v>
      </c>
      <c r="V6">
        <f t="shared" si="10"/>
        <v>0.63903969619913781</v>
      </c>
      <c r="W6">
        <f t="shared" si="11"/>
        <v>2253.0265361880024</v>
      </c>
      <c r="X6">
        <v>1461.6</v>
      </c>
      <c r="Y6">
        <f t="shared" si="12"/>
        <v>0.64872737916036582</v>
      </c>
      <c r="Z6" t="str">
        <f t="shared" si="13"/>
        <v>MC-L5</v>
      </c>
      <c r="AA6">
        <f t="shared" si="14"/>
        <v>490</v>
      </c>
      <c r="AB6">
        <f t="shared" si="23"/>
        <v>517.02058150931066</v>
      </c>
      <c r="AC6">
        <f t="shared" si="15"/>
        <v>519.7880493042129</v>
      </c>
      <c r="AD6">
        <f t="shared" si="16"/>
        <v>325.88344850615891</v>
      </c>
      <c r="AE6">
        <f t="shared" si="17"/>
        <v>473.25094511267991</v>
      </c>
      <c r="AF6">
        <f t="shared" si="18"/>
        <v>2320.0936837157406</v>
      </c>
      <c r="AG6">
        <f t="shared" si="1"/>
        <v>0.62997456105271488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v>8000</v>
      </c>
      <c r="F7">
        <v>270</v>
      </c>
      <c r="G7">
        <f t="shared" si="2"/>
        <v>300</v>
      </c>
      <c r="H7">
        <v>6</v>
      </c>
      <c r="I7">
        <f t="shared" si="3"/>
        <v>45</v>
      </c>
      <c r="J7">
        <f t="shared" si="19"/>
        <v>0.94604146249571819</v>
      </c>
      <c r="K7">
        <f t="shared" si="4"/>
        <v>2.7</v>
      </c>
      <c r="L7">
        <f t="shared" si="0"/>
        <v>8</v>
      </c>
      <c r="M7">
        <v>2.5</v>
      </c>
      <c r="N7">
        <f t="shared" si="5"/>
        <v>325</v>
      </c>
      <c r="O7">
        <f t="shared" si="20"/>
        <v>203400</v>
      </c>
      <c r="P7">
        <f t="shared" si="21"/>
        <v>6480</v>
      </c>
      <c r="Q7">
        <f t="shared" si="22"/>
        <v>452.38934211693021</v>
      </c>
      <c r="R7">
        <f t="shared" si="6"/>
        <v>6932.3893421169305</v>
      </c>
      <c r="S7">
        <f t="shared" si="7"/>
        <v>98937843.544753</v>
      </c>
      <c r="T7">
        <f t="shared" si="8"/>
        <v>119.46474135158041</v>
      </c>
      <c r="U7">
        <f t="shared" si="9"/>
        <v>66.965364922661905</v>
      </c>
      <c r="V7">
        <f t="shared" si="10"/>
        <v>0.85205292826551704</v>
      </c>
      <c r="W7">
        <f t="shared" si="11"/>
        <v>2253.0265361880024</v>
      </c>
      <c r="X7">
        <v>1357.2</v>
      </c>
      <c r="Y7">
        <f t="shared" si="12"/>
        <v>0.60238970922033974</v>
      </c>
      <c r="Z7" t="str">
        <f t="shared" si="13"/>
        <v>MC-L6</v>
      </c>
      <c r="AA7">
        <f t="shared" si="14"/>
        <v>490</v>
      </c>
      <c r="AB7">
        <f t="shared" si="23"/>
        <v>517.02058150931066</v>
      </c>
      <c r="AC7">
        <f t="shared" si="15"/>
        <v>519.7880493042129</v>
      </c>
      <c r="AD7">
        <f t="shared" si="16"/>
        <v>325.88344850615891</v>
      </c>
      <c r="AE7">
        <f t="shared" si="17"/>
        <v>473.25094511267991</v>
      </c>
      <c r="AF7">
        <f t="shared" si="18"/>
        <v>2320.0936837157406</v>
      </c>
      <c r="AG7">
        <f t="shared" si="1"/>
        <v>0.58497637812037817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v>10000</v>
      </c>
      <c r="F8">
        <v>270</v>
      </c>
      <c r="G8">
        <f t="shared" si="2"/>
        <v>300</v>
      </c>
      <c r="H8">
        <v>6</v>
      </c>
      <c r="I8">
        <f t="shared" si="3"/>
        <v>45</v>
      </c>
      <c r="J8">
        <f t="shared" si="19"/>
        <v>0.94604146249571819</v>
      </c>
      <c r="K8">
        <f t="shared" si="4"/>
        <v>2.7</v>
      </c>
      <c r="L8">
        <f t="shared" si="0"/>
        <v>10</v>
      </c>
      <c r="M8">
        <v>2.5</v>
      </c>
      <c r="N8">
        <f t="shared" si="5"/>
        <v>325</v>
      </c>
      <c r="O8">
        <f t="shared" si="20"/>
        <v>203400</v>
      </c>
      <c r="P8">
        <f t="shared" si="21"/>
        <v>6480</v>
      </c>
      <c r="Q8">
        <f t="shared" si="22"/>
        <v>452.38934211693021</v>
      </c>
      <c r="R8">
        <f t="shared" si="6"/>
        <v>6932.3893421169305</v>
      </c>
      <c r="S8">
        <f t="shared" si="7"/>
        <v>98937843.544753</v>
      </c>
      <c r="T8">
        <f t="shared" si="8"/>
        <v>119.46474135158041</v>
      </c>
      <c r="U8">
        <f t="shared" si="9"/>
        <v>83.706706153327374</v>
      </c>
      <c r="V8">
        <f t="shared" si="10"/>
        <v>1.0650661603318963</v>
      </c>
      <c r="W8">
        <f t="shared" si="11"/>
        <v>2253.0265361880024</v>
      </c>
      <c r="X8">
        <v>1178.3</v>
      </c>
      <c r="Y8">
        <f t="shared" si="12"/>
        <v>0.52298540699552476</v>
      </c>
      <c r="Z8" t="str">
        <f t="shared" si="13"/>
        <v>MC-L7</v>
      </c>
      <c r="AA8">
        <f t="shared" si="14"/>
        <v>490</v>
      </c>
      <c r="AB8">
        <f t="shared" si="23"/>
        <v>517.02058150931066</v>
      </c>
      <c r="AC8">
        <f t="shared" si="15"/>
        <v>519.7880493042129</v>
      </c>
      <c r="AD8">
        <f t="shared" si="16"/>
        <v>325.88344850615891</v>
      </c>
      <c r="AE8">
        <f t="shared" si="17"/>
        <v>473.25094511267991</v>
      </c>
      <c r="AF8">
        <f t="shared" si="18"/>
        <v>2320.0936837157406</v>
      </c>
      <c r="AG8">
        <f t="shared" si="1"/>
        <v>0.50786742288479336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v>12000</v>
      </c>
      <c r="F9">
        <v>270</v>
      </c>
      <c r="G9">
        <f t="shared" si="2"/>
        <v>300</v>
      </c>
      <c r="H9">
        <v>6</v>
      </c>
      <c r="I9">
        <f t="shared" si="3"/>
        <v>45</v>
      </c>
      <c r="J9">
        <f t="shared" si="19"/>
        <v>0.94604146249571819</v>
      </c>
      <c r="K9">
        <f t="shared" si="4"/>
        <v>2.7</v>
      </c>
      <c r="L9">
        <f t="shared" si="0"/>
        <v>12</v>
      </c>
      <c r="M9">
        <v>2.5</v>
      </c>
      <c r="N9">
        <f t="shared" si="5"/>
        <v>325</v>
      </c>
      <c r="O9">
        <f t="shared" si="20"/>
        <v>203400</v>
      </c>
      <c r="P9">
        <f t="shared" si="21"/>
        <v>6480</v>
      </c>
      <c r="Q9">
        <f t="shared" si="22"/>
        <v>452.38934211693021</v>
      </c>
      <c r="R9">
        <f t="shared" si="6"/>
        <v>6932.3893421169305</v>
      </c>
      <c r="S9">
        <f t="shared" si="7"/>
        <v>98937843.544753</v>
      </c>
      <c r="T9">
        <f t="shared" si="8"/>
        <v>119.46474135158041</v>
      </c>
      <c r="U9">
        <f t="shared" si="9"/>
        <v>100.44804738399286</v>
      </c>
      <c r="V9">
        <f t="shared" si="10"/>
        <v>1.2780793923982756</v>
      </c>
      <c r="W9">
        <f t="shared" si="11"/>
        <v>2253.0265361880024</v>
      </c>
      <c r="X9">
        <v>987.4</v>
      </c>
      <c r="Y9">
        <f t="shared" si="12"/>
        <v>0.43825493581208624</v>
      </c>
      <c r="Z9" t="str">
        <f t="shared" si="13"/>
        <v>MC-L8</v>
      </c>
      <c r="AA9">
        <f t="shared" si="14"/>
        <v>490</v>
      </c>
      <c r="AB9">
        <f t="shared" si="23"/>
        <v>517.02058150931066</v>
      </c>
      <c r="AC9">
        <f t="shared" si="15"/>
        <v>519.7880493042129</v>
      </c>
      <c r="AD9">
        <f t="shared" si="16"/>
        <v>325.88344850615891</v>
      </c>
      <c r="AE9">
        <f t="shared" si="17"/>
        <v>473.25094511267991</v>
      </c>
      <c r="AF9">
        <f t="shared" si="18"/>
        <v>2320.0936837157406</v>
      </c>
      <c r="AG9">
        <f t="shared" si="1"/>
        <v>0.42558626271445721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v>14000</v>
      </c>
      <c r="F10">
        <v>270</v>
      </c>
      <c r="G10">
        <f t="shared" si="2"/>
        <v>300</v>
      </c>
      <c r="H10">
        <v>6</v>
      </c>
      <c r="I10">
        <f t="shared" si="3"/>
        <v>45</v>
      </c>
      <c r="J10">
        <f t="shared" si="19"/>
        <v>0.94604146249571819</v>
      </c>
      <c r="K10">
        <f t="shared" si="4"/>
        <v>2.7</v>
      </c>
      <c r="L10">
        <f t="shared" si="0"/>
        <v>14</v>
      </c>
      <c r="M10">
        <v>2.5</v>
      </c>
      <c r="N10">
        <f t="shared" si="5"/>
        <v>325</v>
      </c>
      <c r="O10">
        <f t="shared" si="20"/>
        <v>203400</v>
      </c>
      <c r="P10">
        <f t="shared" si="21"/>
        <v>6480</v>
      </c>
      <c r="Q10">
        <f t="shared" si="22"/>
        <v>452.38934211693021</v>
      </c>
      <c r="R10">
        <f t="shared" si="6"/>
        <v>6932.3893421169305</v>
      </c>
      <c r="S10">
        <f t="shared" si="7"/>
        <v>98937843.544753</v>
      </c>
      <c r="T10">
        <f t="shared" si="8"/>
        <v>119.46474135158041</v>
      </c>
      <c r="U10">
        <f t="shared" si="9"/>
        <v>117.18938861465833</v>
      </c>
      <c r="V10">
        <f t="shared" si="10"/>
        <v>1.4910926244646545</v>
      </c>
      <c r="W10">
        <f t="shared" si="11"/>
        <v>2253.0265361880024</v>
      </c>
      <c r="X10">
        <v>878.5</v>
      </c>
      <c r="Y10">
        <f t="shared" si="12"/>
        <v>0.38991995251257622</v>
      </c>
      <c r="Z10" t="str">
        <f t="shared" si="13"/>
        <v>MC-L9</v>
      </c>
      <c r="AA10">
        <f t="shared" si="14"/>
        <v>490</v>
      </c>
      <c r="AB10">
        <f t="shared" si="23"/>
        <v>517.02058150931066</v>
      </c>
      <c r="AC10">
        <f t="shared" si="15"/>
        <v>519.7880493042129</v>
      </c>
      <c r="AD10">
        <f t="shared" si="16"/>
        <v>325.88344850615891</v>
      </c>
      <c r="AE10">
        <f t="shared" si="17"/>
        <v>473.25094511267991</v>
      </c>
      <c r="AF10">
        <f t="shared" si="18"/>
        <v>2320.0936837157406</v>
      </c>
      <c r="AG10">
        <f t="shared" si="1"/>
        <v>0.37864850293158869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v>16000</v>
      </c>
      <c r="F11">
        <v>270</v>
      </c>
      <c r="G11">
        <f t="shared" si="2"/>
        <v>300</v>
      </c>
      <c r="H11">
        <v>6</v>
      </c>
      <c r="I11">
        <f t="shared" si="3"/>
        <v>45</v>
      </c>
      <c r="J11">
        <f t="shared" si="19"/>
        <v>0.94604146249571819</v>
      </c>
      <c r="K11">
        <f t="shared" si="4"/>
        <v>2.7</v>
      </c>
      <c r="L11">
        <f t="shared" si="0"/>
        <v>16</v>
      </c>
      <c r="M11">
        <v>2.5</v>
      </c>
      <c r="N11">
        <f t="shared" si="5"/>
        <v>325</v>
      </c>
      <c r="O11">
        <f t="shared" si="20"/>
        <v>203400</v>
      </c>
      <c r="P11">
        <f t="shared" si="21"/>
        <v>6480</v>
      </c>
      <c r="Q11">
        <f t="shared" si="22"/>
        <v>452.38934211693021</v>
      </c>
      <c r="R11">
        <f t="shared" si="6"/>
        <v>6932.3893421169305</v>
      </c>
      <c r="S11">
        <f t="shared" si="7"/>
        <v>98937843.544753</v>
      </c>
      <c r="T11">
        <f t="shared" si="8"/>
        <v>119.46474135158041</v>
      </c>
      <c r="U11">
        <f t="shared" si="9"/>
        <v>133.93072984532381</v>
      </c>
      <c r="V11">
        <f t="shared" si="10"/>
        <v>1.7041058565310341</v>
      </c>
      <c r="W11">
        <f t="shared" si="11"/>
        <v>2253.0265361880024</v>
      </c>
      <c r="X11">
        <v>695.8</v>
      </c>
      <c r="Y11">
        <f t="shared" si="12"/>
        <v>0.30882903011753049</v>
      </c>
      <c r="Z11" t="str">
        <f t="shared" si="13"/>
        <v>MC-L10</v>
      </c>
      <c r="AA11">
        <f t="shared" si="14"/>
        <v>490</v>
      </c>
      <c r="AB11">
        <f t="shared" si="23"/>
        <v>517.02058150931066</v>
      </c>
      <c r="AC11">
        <f t="shared" si="15"/>
        <v>519.7880493042129</v>
      </c>
      <c r="AD11">
        <f t="shared" si="16"/>
        <v>325.88344850615891</v>
      </c>
      <c r="AE11">
        <f t="shared" si="17"/>
        <v>473.25094511267991</v>
      </c>
      <c r="AF11">
        <f t="shared" si="18"/>
        <v>2320.0936837157406</v>
      </c>
      <c r="AG11">
        <f t="shared" si="1"/>
        <v>0.29990168279999929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v>18000</v>
      </c>
      <c r="F12">
        <v>270</v>
      </c>
      <c r="G12">
        <f t="shared" si="2"/>
        <v>300</v>
      </c>
      <c r="H12">
        <v>6</v>
      </c>
      <c r="I12">
        <f t="shared" si="3"/>
        <v>45</v>
      </c>
      <c r="J12">
        <f t="shared" si="19"/>
        <v>0.94604146249571819</v>
      </c>
      <c r="K12">
        <f t="shared" si="4"/>
        <v>2.7</v>
      </c>
      <c r="L12">
        <f t="shared" si="0"/>
        <v>18</v>
      </c>
      <c r="M12">
        <v>2.5</v>
      </c>
      <c r="N12">
        <f t="shared" si="5"/>
        <v>325</v>
      </c>
      <c r="O12">
        <f t="shared" si="20"/>
        <v>203400</v>
      </c>
      <c r="P12">
        <f t="shared" si="21"/>
        <v>6480</v>
      </c>
      <c r="Q12">
        <f t="shared" si="22"/>
        <v>452.38934211693021</v>
      </c>
      <c r="R12">
        <f t="shared" si="6"/>
        <v>6932.3893421169305</v>
      </c>
      <c r="S12">
        <f t="shared" si="7"/>
        <v>98937843.544753</v>
      </c>
      <c r="T12">
        <f t="shared" si="8"/>
        <v>119.46474135158041</v>
      </c>
      <c r="U12">
        <f t="shared" si="9"/>
        <v>150.67207107598929</v>
      </c>
      <c r="V12">
        <f t="shared" si="10"/>
        <v>1.9171190885974134</v>
      </c>
      <c r="W12">
        <f t="shared" si="11"/>
        <v>2253.0265361880024</v>
      </c>
      <c r="X12">
        <v>557.6</v>
      </c>
      <c r="Y12">
        <f t="shared" si="12"/>
        <v>0.2474893176107143</v>
      </c>
      <c r="Z12" t="str">
        <f t="shared" si="13"/>
        <v>MC-L11</v>
      </c>
      <c r="AA12">
        <f t="shared" si="14"/>
        <v>490</v>
      </c>
      <c r="AB12">
        <f t="shared" si="23"/>
        <v>517.02058150931066</v>
      </c>
      <c r="AC12">
        <f t="shared" si="15"/>
        <v>519.7880493042129</v>
      </c>
      <c r="AD12">
        <f t="shared" si="16"/>
        <v>325.88344850615891</v>
      </c>
      <c r="AE12">
        <f t="shared" si="17"/>
        <v>473.25094511267991</v>
      </c>
      <c r="AF12">
        <f t="shared" si="18"/>
        <v>2320.0936837157406</v>
      </c>
      <c r="AG12">
        <f t="shared" si="1"/>
        <v>0.24033512263477957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v>2000</v>
      </c>
      <c r="F13">
        <v>270</v>
      </c>
      <c r="G13">
        <f t="shared" si="2"/>
        <v>300</v>
      </c>
      <c r="H13">
        <v>6</v>
      </c>
      <c r="I13">
        <f t="shared" si="3"/>
        <v>45</v>
      </c>
      <c r="J13">
        <f>SQRT(12*(1-0.3^2)*I13^2*N13/(4*PI()^2*O13))</f>
        <v>0.94604146249571819</v>
      </c>
      <c r="K13">
        <f>H13*I13/200</f>
        <v>1.35</v>
      </c>
      <c r="L13">
        <f t="shared" si="0"/>
        <v>2</v>
      </c>
      <c r="M13">
        <v>2.5</v>
      </c>
      <c r="N13">
        <f t="shared" si="5"/>
        <v>325</v>
      </c>
      <c r="O13">
        <f>193000*D13+(1-D13)*206000</f>
        <v>203400</v>
      </c>
      <c r="P13">
        <f>H13*I13*H13*4</f>
        <v>6480</v>
      </c>
      <c r="Q13">
        <f>PI()*(M13*H13)^2-PI()*((M13-1)*H13)^2</f>
        <v>452.38934211693021</v>
      </c>
      <c r="R13">
        <f>P13+Q13</f>
        <v>6932.3893421169305</v>
      </c>
      <c r="S13">
        <f t="shared" si="7"/>
        <v>98937843.544753</v>
      </c>
      <c r="T13">
        <f>SQRT(S13/R13)</f>
        <v>119.46474135158041</v>
      </c>
      <c r="U13">
        <f>E13/T13</f>
        <v>16.741341230665476</v>
      </c>
      <c r="V13">
        <f>U13/PI()*SQRT(N13/O13)</f>
        <v>0.21301323206637926</v>
      </c>
      <c r="W13">
        <f>R13*N13/1000</f>
        <v>2253.0265361880024</v>
      </c>
      <c r="X13">
        <v>1656.4</v>
      </c>
      <c r="Y13">
        <f t="shared" si="12"/>
        <v>0.73518885525535715</v>
      </c>
      <c r="Z13" t="str">
        <f t="shared" si="13"/>
        <v>MC-L12</v>
      </c>
      <c r="AA13">
        <f t="shared" si="14"/>
        <v>490</v>
      </c>
      <c r="AB13">
        <f>C13/(0.2+185*C13/193000)</f>
        <v>517.02058150931066</v>
      </c>
      <c r="AC13">
        <f t="shared" si="15"/>
        <v>519.7880493042129</v>
      </c>
      <c r="AD13">
        <f t="shared" si="16"/>
        <v>325.88344850615891</v>
      </c>
      <c r="AE13">
        <f t="shared" si="17"/>
        <v>473.25094511267991</v>
      </c>
      <c r="AF13">
        <f>(AE13*Q13+N13*P13)/1000</f>
        <v>2320.0936837157406</v>
      </c>
      <c r="AG13">
        <f t="shared" si="1"/>
        <v>0.71393668782684527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v>3000</v>
      </c>
      <c r="F14">
        <v>270</v>
      </c>
      <c r="G14">
        <f t="shared" si="2"/>
        <v>300</v>
      </c>
      <c r="H14">
        <v>6</v>
      </c>
      <c r="I14">
        <f t="shared" si="3"/>
        <v>45</v>
      </c>
      <c r="J14">
        <f>SQRT(12*(1-0.3^2)*I14^2*N14/(4*PI()^2*O14))</f>
        <v>0.94604146249571819</v>
      </c>
      <c r="K14">
        <f t="shared" ref="K14:K21" si="24">H14*I14/200</f>
        <v>1.35</v>
      </c>
      <c r="L14">
        <f t="shared" si="0"/>
        <v>3</v>
      </c>
      <c r="M14">
        <v>2.5</v>
      </c>
      <c r="N14">
        <f t="shared" si="5"/>
        <v>325</v>
      </c>
      <c r="O14">
        <f>193000*D14+(1-D14)*206000</f>
        <v>203400</v>
      </c>
      <c r="P14">
        <f>H14*I14*H14*4</f>
        <v>6480</v>
      </c>
      <c r="Q14">
        <f>PI()*(M14*H14)^2-PI()*((M14-1)*H14)^2</f>
        <v>452.38934211693021</v>
      </c>
      <c r="R14">
        <f t="shared" ref="R14:R21" si="25">P14+Q14</f>
        <v>6932.3893421169305</v>
      </c>
      <c r="S14">
        <f t="shared" si="7"/>
        <v>98937843.544753</v>
      </c>
      <c r="T14">
        <f t="shared" ref="T14:T21" si="26">SQRT(S14/R14)</f>
        <v>119.46474135158041</v>
      </c>
      <c r="U14">
        <f t="shared" ref="U14:U21" si="27">E14/T14</f>
        <v>25.112011845998214</v>
      </c>
      <c r="V14">
        <f t="shared" ref="V14:V21" si="28">U14/PI()*SQRT(N14/O14)</f>
        <v>0.3195198480995689</v>
      </c>
      <c r="W14">
        <f t="shared" ref="W14:W21" si="29">R14*N14/1000</f>
        <v>2253.0265361880024</v>
      </c>
      <c r="X14">
        <v>1662.1</v>
      </c>
      <c r="Y14">
        <f t="shared" si="12"/>
        <v>0.73771878551070336</v>
      </c>
      <c r="Z14" t="str">
        <f t="shared" si="13"/>
        <v>MC-L13</v>
      </c>
      <c r="AA14">
        <f t="shared" si="14"/>
        <v>490</v>
      </c>
      <c r="AB14">
        <f>C14/(0.2+185*C14/193000)</f>
        <v>517.02058150931066</v>
      </c>
      <c r="AC14">
        <f t="shared" si="15"/>
        <v>519.7880493042129</v>
      </c>
      <c r="AD14">
        <f t="shared" si="16"/>
        <v>325.88344850615891</v>
      </c>
      <c r="AE14">
        <f t="shared" si="17"/>
        <v>473.25094511267991</v>
      </c>
      <c r="AF14">
        <f t="shared" ref="AF14:AF21" si="30">(AE14*Q14+N14*P14)/1000</f>
        <v>2320.0936837157406</v>
      </c>
      <c r="AG14">
        <f t="shared" si="1"/>
        <v>0.71639348517085211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v>4000</v>
      </c>
      <c r="F15">
        <v>270</v>
      </c>
      <c r="G15">
        <f t="shared" si="2"/>
        <v>300</v>
      </c>
      <c r="H15">
        <v>6</v>
      </c>
      <c r="I15">
        <f t="shared" si="3"/>
        <v>45</v>
      </c>
      <c r="J15">
        <f>SQRT(12*(1-0.3^2)*I15^2*N15/(4*PI()^2*O15))</f>
        <v>0.94604146249571819</v>
      </c>
      <c r="K15">
        <f t="shared" si="24"/>
        <v>1.35</v>
      </c>
      <c r="L15">
        <f t="shared" si="0"/>
        <v>4</v>
      </c>
      <c r="M15">
        <v>2.5</v>
      </c>
      <c r="N15">
        <f t="shared" si="5"/>
        <v>325</v>
      </c>
      <c r="O15">
        <f>193000*D15+(1-D15)*206000</f>
        <v>203400</v>
      </c>
      <c r="P15">
        <f>H15*I15*H15*4</f>
        <v>6480</v>
      </c>
      <c r="Q15">
        <f>PI()*(M15*H15)^2-PI()*((M15-1)*H15)^2</f>
        <v>452.38934211693021</v>
      </c>
      <c r="R15">
        <f t="shared" si="25"/>
        <v>6932.3893421169305</v>
      </c>
      <c r="S15">
        <f t="shared" si="7"/>
        <v>98937843.544753</v>
      </c>
      <c r="T15">
        <f t="shared" si="26"/>
        <v>119.46474135158041</v>
      </c>
      <c r="U15">
        <f t="shared" si="27"/>
        <v>33.482682461330953</v>
      </c>
      <c r="V15">
        <f t="shared" si="28"/>
        <v>0.42602646413275852</v>
      </c>
      <c r="W15">
        <f t="shared" si="29"/>
        <v>2253.0265361880024</v>
      </c>
      <c r="X15">
        <v>1644.2</v>
      </c>
      <c r="Y15">
        <f t="shared" si="12"/>
        <v>0.72977391681408976</v>
      </c>
      <c r="Z15" t="str">
        <f t="shared" si="13"/>
        <v>MC-L14</v>
      </c>
      <c r="AA15">
        <f t="shared" si="14"/>
        <v>490</v>
      </c>
      <c r="AB15">
        <f>C15/(0.2+185*C15/193000)</f>
        <v>517.02058150931066</v>
      </c>
      <c r="AC15">
        <f t="shared" si="15"/>
        <v>519.7880493042129</v>
      </c>
      <c r="AD15">
        <f t="shared" si="16"/>
        <v>325.88344850615891</v>
      </c>
      <c r="AE15">
        <f t="shared" si="17"/>
        <v>473.25094511267991</v>
      </c>
      <c r="AF15">
        <f t="shared" si="30"/>
        <v>2320.0936837157406</v>
      </c>
      <c r="AG15">
        <f t="shared" si="1"/>
        <v>0.70867827947651463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v>5000</v>
      </c>
      <c r="F16">
        <v>270</v>
      </c>
      <c r="G16">
        <f t="shared" si="2"/>
        <v>300</v>
      </c>
      <c r="H16">
        <v>6</v>
      </c>
      <c r="I16">
        <f t="shared" si="3"/>
        <v>45</v>
      </c>
      <c r="J16">
        <f t="shared" ref="J16:J21" si="31">SQRT(12*(1-0.3^2)*I16^2*N16/(4*PI()^2*O16))</f>
        <v>0.94604146249571819</v>
      </c>
      <c r="K16">
        <f t="shared" si="24"/>
        <v>1.35</v>
      </c>
      <c r="L16">
        <f t="shared" si="0"/>
        <v>5</v>
      </c>
      <c r="M16">
        <v>2.5</v>
      </c>
      <c r="N16">
        <f t="shared" si="5"/>
        <v>325</v>
      </c>
      <c r="O16">
        <f t="shared" ref="O16:O21" si="32">193000*D16+(1-D16)*206000</f>
        <v>203400</v>
      </c>
      <c r="P16">
        <f t="shared" ref="P16:P21" si="33">H16*I16*H16*4</f>
        <v>6480</v>
      </c>
      <c r="Q16">
        <f t="shared" ref="Q16:Q21" si="34">PI()*(M16*H16)^2-PI()*((M16-1)*H16)^2</f>
        <v>452.38934211693021</v>
      </c>
      <c r="R16">
        <f t="shared" si="25"/>
        <v>6932.3893421169305</v>
      </c>
      <c r="S16">
        <f t="shared" si="7"/>
        <v>98937843.544753</v>
      </c>
      <c r="T16">
        <f t="shared" si="26"/>
        <v>119.46474135158041</v>
      </c>
      <c r="U16">
        <f t="shared" si="27"/>
        <v>41.853353076663687</v>
      </c>
      <c r="V16">
        <f t="shared" si="28"/>
        <v>0.53253308016594814</v>
      </c>
      <c r="W16">
        <f t="shared" si="29"/>
        <v>2253.0265361880024</v>
      </c>
      <c r="X16">
        <v>1625.4</v>
      </c>
      <c r="Y16">
        <f t="shared" si="12"/>
        <v>0.72142958544557934</v>
      </c>
      <c r="Z16" t="str">
        <f t="shared" si="13"/>
        <v>MC-L15</v>
      </c>
      <c r="AA16">
        <f t="shared" si="14"/>
        <v>490</v>
      </c>
      <c r="AB16">
        <f t="shared" ref="AB16:AB21" si="35">C16/(0.2+185*C16/193000)</f>
        <v>517.02058150931066</v>
      </c>
      <c r="AC16">
        <f t="shared" si="15"/>
        <v>519.7880493042129</v>
      </c>
      <c r="AD16">
        <f t="shared" si="16"/>
        <v>325.88344850615891</v>
      </c>
      <c r="AE16">
        <f t="shared" si="17"/>
        <v>473.25094511267991</v>
      </c>
      <c r="AF16">
        <f t="shared" si="30"/>
        <v>2320.0936837157406</v>
      </c>
      <c r="AG16">
        <f t="shared" si="1"/>
        <v>0.70057515841207096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v>6000</v>
      </c>
      <c r="F17">
        <v>270</v>
      </c>
      <c r="G17">
        <f t="shared" si="2"/>
        <v>300</v>
      </c>
      <c r="H17">
        <v>6</v>
      </c>
      <c r="I17">
        <f t="shared" si="3"/>
        <v>45</v>
      </c>
      <c r="J17">
        <f t="shared" si="31"/>
        <v>0.94604146249571819</v>
      </c>
      <c r="K17">
        <f t="shared" si="24"/>
        <v>1.35</v>
      </c>
      <c r="L17">
        <f t="shared" si="0"/>
        <v>6</v>
      </c>
      <c r="M17">
        <v>2.5</v>
      </c>
      <c r="N17">
        <f t="shared" si="5"/>
        <v>325</v>
      </c>
      <c r="O17">
        <f t="shared" si="32"/>
        <v>203400</v>
      </c>
      <c r="P17">
        <f t="shared" si="33"/>
        <v>6480</v>
      </c>
      <c r="Q17">
        <f t="shared" si="34"/>
        <v>452.38934211693021</v>
      </c>
      <c r="R17">
        <f t="shared" si="25"/>
        <v>6932.3893421169305</v>
      </c>
      <c r="S17">
        <f t="shared" si="7"/>
        <v>98937843.544753</v>
      </c>
      <c r="T17">
        <f t="shared" si="26"/>
        <v>119.46474135158041</v>
      </c>
      <c r="U17">
        <f t="shared" si="27"/>
        <v>50.224023691996429</v>
      </c>
      <c r="V17">
        <f t="shared" si="28"/>
        <v>0.63903969619913781</v>
      </c>
      <c r="W17">
        <f t="shared" si="29"/>
        <v>2253.0265361880024</v>
      </c>
      <c r="X17">
        <v>1593.8</v>
      </c>
      <c r="Y17">
        <f t="shared" si="12"/>
        <v>0.70740400718787022</v>
      </c>
      <c r="Z17" t="str">
        <f t="shared" si="13"/>
        <v>MC-L16</v>
      </c>
      <c r="AA17">
        <f t="shared" si="14"/>
        <v>490</v>
      </c>
      <c r="AB17">
        <f t="shared" si="35"/>
        <v>517.02058150931066</v>
      </c>
      <c r="AC17">
        <f t="shared" si="15"/>
        <v>519.7880493042129</v>
      </c>
      <c r="AD17">
        <f t="shared" si="16"/>
        <v>325.88344850615891</v>
      </c>
      <c r="AE17">
        <f t="shared" si="17"/>
        <v>473.25094511267991</v>
      </c>
      <c r="AF17">
        <f t="shared" si="30"/>
        <v>2320.0936837157406</v>
      </c>
      <c r="AG17">
        <f t="shared" si="1"/>
        <v>0.68695501875055898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v>8000</v>
      </c>
      <c r="F18">
        <v>270</v>
      </c>
      <c r="G18">
        <f t="shared" si="2"/>
        <v>300</v>
      </c>
      <c r="H18">
        <v>6</v>
      </c>
      <c r="I18">
        <f t="shared" si="3"/>
        <v>45</v>
      </c>
      <c r="J18">
        <f t="shared" si="31"/>
        <v>0.94604146249571819</v>
      </c>
      <c r="K18">
        <f t="shared" si="24"/>
        <v>1.35</v>
      </c>
      <c r="L18">
        <f t="shared" si="0"/>
        <v>8</v>
      </c>
      <c r="M18">
        <v>2.5</v>
      </c>
      <c r="N18">
        <f t="shared" si="5"/>
        <v>325</v>
      </c>
      <c r="O18">
        <f t="shared" si="32"/>
        <v>203400</v>
      </c>
      <c r="P18">
        <f t="shared" si="33"/>
        <v>6480</v>
      </c>
      <c r="Q18">
        <f t="shared" si="34"/>
        <v>452.38934211693021</v>
      </c>
      <c r="R18">
        <f t="shared" si="25"/>
        <v>6932.3893421169305</v>
      </c>
      <c r="S18">
        <f t="shared" si="7"/>
        <v>98937843.544753</v>
      </c>
      <c r="T18">
        <f t="shared" si="26"/>
        <v>119.46474135158041</v>
      </c>
      <c r="U18">
        <f t="shared" si="27"/>
        <v>66.965364922661905</v>
      </c>
      <c r="V18">
        <f t="shared" si="28"/>
        <v>0.85205292826551704</v>
      </c>
      <c r="W18">
        <f t="shared" si="29"/>
        <v>2253.0265361880024</v>
      </c>
      <c r="X18">
        <v>1478.1</v>
      </c>
      <c r="Y18">
        <f t="shared" si="12"/>
        <v>0.65605086147847336</v>
      </c>
      <c r="Z18" t="str">
        <f t="shared" si="13"/>
        <v>MC-L17</v>
      </c>
      <c r="AA18">
        <f t="shared" si="14"/>
        <v>490</v>
      </c>
      <c r="AB18">
        <f t="shared" si="35"/>
        <v>517.02058150931066</v>
      </c>
      <c r="AC18">
        <f t="shared" si="15"/>
        <v>519.7880493042129</v>
      </c>
      <c r="AD18">
        <f t="shared" si="16"/>
        <v>325.88344850615891</v>
      </c>
      <c r="AE18">
        <f t="shared" si="17"/>
        <v>473.25094511267991</v>
      </c>
      <c r="AF18">
        <f t="shared" si="30"/>
        <v>2320.0936837157406</v>
      </c>
      <c r="AG18">
        <f t="shared" si="1"/>
        <v>0.63708634283799792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v>10000</v>
      </c>
      <c r="F19">
        <v>270</v>
      </c>
      <c r="G19">
        <f t="shared" si="2"/>
        <v>300</v>
      </c>
      <c r="H19">
        <v>6</v>
      </c>
      <c r="I19">
        <f t="shared" si="3"/>
        <v>45</v>
      </c>
      <c r="J19">
        <f t="shared" si="31"/>
        <v>0.94604146249571819</v>
      </c>
      <c r="K19">
        <f t="shared" si="24"/>
        <v>1.35</v>
      </c>
      <c r="L19">
        <f t="shared" si="0"/>
        <v>10</v>
      </c>
      <c r="M19">
        <v>2.5</v>
      </c>
      <c r="N19">
        <f t="shared" si="5"/>
        <v>325</v>
      </c>
      <c r="O19">
        <f t="shared" si="32"/>
        <v>203400</v>
      </c>
      <c r="P19">
        <f t="shared" si="33"/>
        <v>6480</v>
      </c>
      <c r="Q19">
        <f t="shared" si="34"/>
        <v>452.38934211693021</v>
      </c>
      <c r="R19">
        <f t="shared" si="25"/>
        <v>6932.3893421169305</v>
      </c>
      <c r="S19">
        <f t="shared" si="7"/>
        <v>98937843.544753</v>
      </c>
      <c r="T19">
        <f t="shared" si="26"/>
        <v>119.46474135158041</v>
      </c>
      <c r="U19">
        <f t="shared" si="27"/>
        <v>83.706706153327374</v>
      </c>
      <c r="V19">
        <f t="shared" si="28"/>
        <v>1.0650661603318963</v>
      </c>
      <c r="W19">
        <f t="shared" si="29"/>
        <v>2253.0265361880024</v>
      </c>
      <c r="X19">
        <v>1280</v>
      </c>
      <c r="Y19">
        <f t="shared" si="12"/>
        <v>0.56812468891986068</v>
      </c>
      <c r="Z19" t="str">
        <f t="shared" si="13"/>
        <v>MC-L18</v>
      </c>
      <c r="AA19">
        <f t="shared" si="14"/>
        <v>490</v>
      </c>
      <c r="AB19">
        <f t="shared" si="35"/>
        <v>517.02058150931066</v>
      </c>
      <c r="AC19">
        <f t="shared" si="15"/>
        <v>519.7880493042129</v>
      </c>
      <c r="AD19">
        <f t="shared" si="16"/>
        <v>325.88344850615891</v>
      </c>
      <c r="AE19">
        <f t="shared" si="17"/>
        <v>473.25094511267991</v>
      </c>
      <c r="AF19">
        <f t="shared" si="30"/>
        <v>2320.0936837157406</v>
      </c>
      <c r="AG19">
        <f t="shared" si="1"/>
        <v>0.55170185970681107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v>12000</v>
      </c>
      <c r="F20">
        <v>270</v>
      </c>
      <c r="G20">
        <f t="shared" si="2"/>
        <v>300</v>
      </c>
      <c r="H20">
        <v>6</v>
      </c>
      <c r="I20">
        <f t="shared" si="3"/>
        <v>45</v>
      </c>
      <c r="J20">
        <f t="shared" si="31"/>
        <v>0.94604146249571819</v>
      </c>
      <c r="K20">
        <f t="shared" si="24"/>
        <v>1.35</v>
      </c>
      <c r="L20">
        <f t="shared" si="0"/>
        <v>12</v>
      </c>
      <c r="M20">
        <v>2.5</v>
      </c>
      <c r="N20">
        <f t="shared" si="5"/>
        <v>325</v>
      </c>
      <c r="O20">
        <f t="shared" si="32"/>
        <v>203400</v>
      </c>
      <c r="P20">
        <f t="shared" si="33"/>
        <v>6480</v>
      </c>
      <c r="Q20">
        <f t="shared" si="34"/>
        <v>452.38934211693021</v>
      </c>
      <c r="R20">
        <f t="shared" si="25"/>
        <v>6932.3893421169305</v>
      </c>
      <c r="S20">
        <f t="shared" si="7"/>
        <v>98937843.544753</v>
      </c>
      <c r="T20">
        <f t="shared" si="26"/>
        <v>119.46474135158041</v>
      </c>
      <c r="U20">
        <f t="shared" si="27"/>
        <v>100.44804738399286</v>
      </c>
      <c r="V20">
        <f t="shared" si="28"/>
        <v>1.2780793923982756</v>
      </c>
      <c r="W20">
        <f t="shared" si="29"/>
        <v>2253.0265361880024</v>
      </c>
      <c r="X20">
        <v>1055.0999999999999</v>
      </c>
      <c r="Y20">
        <f t="shared" si="12"/>
        <v>0.46830340568698819</v>
      </c>
      <c r="Z20" t="str">
        <f t="shared" si="13"/>
        <v>MC-L19</v>
      </c>
      <c r="AA20">
        <f t="shared" si="14"/>
        <v>490</v>
      </c>
      <c r="AB20">
        <f t="shared" si="35"/>
        <v>517.02058150931066</v>
      </c>
      <c r="AC20">
        <f t="shared" si="15"/>
        <v>519.7880493042129</v>
      </c>
      <c r="AD20">
        <f t="shared" si="16"/>
        <v>325.88344850615891</v>
      </c>
      <c r="AE20">
        <f t="shared" si="17"/>
        <v>473.25094511267991</v>
      </c>
      <c r="AF20">
        <f t="shared" si="30"/>
        <v>2320.0936837157406</v>
      </c>
      <c r="AG20">
        <f t="shared" si="1"/>
        <v>0.45476611888801277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v>14000</v>
      </c>
      <c r="F21">
        <v>270</v>
      </c>
      <c r="G21">
        <f t="shared" si="2"/>
        <v>300</v>
      </c>
      <c r="H21">
        <v>6</v>
      </c>
      <c r="I21">
        <f t="shared" si="3"/>
        <v>45</v>
      </c>
      <c r="J21">
        <f t="shared" si="31"/>
        <v>0.94604146249571819</v>
      </c>
      <c r="K21">
        <f t="shared" si="24"/>
        <v>1.35</v>
      </c>
      <c r="L21">
        <f t="shared" si="0"/>
        <v>14</v>
      </c>
      <c r="M21">
        <v>2.5</v>
      </c>
      <c r="N21">
        <f t="shared" si="5"/>
        <v>325</v>
      </c>
      <c r="O21">
        <f t="shared" si="32"/>
        <v>203400</v>
      </c>
      <c r="P21">
        <f t="shared" si="33"/>
        <v>6480</v>
      </c>
      <c r="Q21">
        <f t="shared" si="34"/>
        <v>452.38934211693021</v>
      </c>
      <c r="R21">
        <f t="shared" si="25"/>
        <v>6932.3893421169305</v>
      </c>
      <c r="S21">
        <f t="shared" si="7"/>
        <v>98937843.544753</v>
      </c>
      <c r="T21">
        <f t="shared" si="26"/>
        <v>119.46474135158041</v>
      </c>
      <c r="U21">
        <f t="shared" si="27"/>
        <v>117.18938861465833</v>
      </c>
      <c r="V21">
        <f t="shared" si="28"/>
        <v>1.4910926244646545</v>
      </c>
      <c r="W21">
        <f t="shared" si="29"/>
        <v>2253.0265361880024</v>
      </c>
      <c r="X21">
        <v>874.3</v>
      </c>
      <c r="Y21">
        <f t="shared" si="12"/>
        <v>0.38805579337705792</v>
      </c>
      <c r="Z21" t="str">
        <f t="shared" si="13"/>
        <v>MC-L20</v>
      </c>
      <c r="AA21">
        <f t="shared" si="14"/>
        <v>490</v>
      </c>
      <c r="AB21">
        <f t="shared" si="35"/>
        <v>517.02058150931066</v>
      </c>
      <c r="AC21">
        <f t="shared" si="15"/>
        <v>519.7880493042129</v>
      </c>
      <c r="AD21">
        <f t="shared" si="16"/>
        <v>325.88344850615891</v>
      </c>
      <c r="AE21">
        <f t="shared" si="17"/>
        <v>473.25094511267991</v>
      </c>
      <c r="AF21">
        <f t="shared" si="30"/>
        <v>2320.0936837157406</v>
      </c>
      <c r="AG21">
        <f t="shared" si="1"/>
        <v>0.37683823120442572</v>
      </c>
    </row>
    <row r="22" spans="1:33" x14ac:dyDescent="0.25">
      <c r="A22">
        <v>21</v>
      </c>
      <c r="B22">
        <v>355</v>
      </c>
      <c r="C22">
        <v>205</v>
      </c>
      <c r="D22">
        <v>0.2</v>
      </c>
      <c r="E22">
        <v>16000</v>
      </c>
      <c r="F22">
        <v>270</v>
      </c>
      <c r="G22">
        <f t="shared" si="2"/>
        <v>300</v>
      </c>
      <c r="H22">
        <v>6</v>
      </c>
      <c r="I22">
        <f t="shared" si="3"/>
        <v>45</v>
      </c>
      <c r="J22">
        <f>SQRT(12*(1-0.3^2)*I22^2*N22/(4*PI()^2*O22))</f>
        <v>0.94604146249571819</v>
      </c>
      <c r="K22">
        <f>H22*I22/200</f>
        <v>1.35</v>
      </c>
      <c r="L22">
        <f t="shared" si="0"/>
        <v>16</v>
      </c>
      <c r="M22">
        <v>2.5</v>
      </c>
      <c r="N22">
        <f t="shared" si="5"/>
        <v>325</v>
      </c>
      <c r="O22">
        <f>193000*D22+(1-D22)*206000</f>
        <v>203400</v>
      </c>
      <c r="P22">
        <f>H22*I22*H22*4</f>
        <v>6480</v>
      </c>
      <c r="Q22">
        <f>PI()*(M22*H22)^2-PI()*((M22-1)*H22)^2</f>
        <v>452.38934211693021</v>
      </c>
      <c r="R22">
        <f>P22+Q22</f>
        <v>6932.3893421169305</v>
      </c>
      <c r="S22">
        <f t="shared" si="7"/>
        <v>98937843.544753</v>
      </c>
      <c r="T22">
        <f>SQRT(S22/R22)</f>
        <v>119.46474135158041</v>
      </c>
      <c r="U22">
        <f>E22/T22</f>
        <v>133.93072984532381</v>
      </c>
      <c r="V22">
        <f>U22/PI()*SQRT(N22/O22)</f>
        <v>1.7041058565310341</v>
      </c>
      <c r="W22">
        <f>R22*N22/1000</f>
        <v>2253.0265361880024</v>
      </c>
      <c r="X22">
        <v>692.2</v>
      </c>
      <c r="Y22">
        <f t="shared" si="12"/>
        <v>0.30723117942994338</v>
      </c>
      <c r="Z22" t="str">
        <f t="shared" si="13"/>
        <v>MC-L21</v>
      </c>
      <c r="AA22">
        <f t="shared" si="14"/>
        <v>490</v>
      </c>
      <c r="AB22">
        <f>C22/(0.2+185*C22/193000)</f>
        <v>517.02058150931066</v>
      </c>
      <c r="AC22">
        <f t="shared" si="15"/>
        <v>519.7880493042129</v>
      </c>
      <c r="AD22">
        <f t="shared" si="16"/>
        <v>325.88344850615891</v>
      </c>
      <c r="AE22">
        <f t="shared" si="17"/>
        <v>473.25094511267991</v>
      </c>
      <c r="AF22">
        <f>(AE22*Q22+N22*P22)/1000</f>
        <v>2320.0936837157406</v>
      </c>
      <c r="AG22">
        <f t="shared" si="1"/>
        <v>0.29835002131957394</v>
      </c>
    </row>
    <row r="23" spans="1:33" x14ac:dyDescent="0.25">
      <c r="A23">
        <v>22</v>
      </c>
      <c r="B23">
        <v>355</v>
      </c>
      <c r="C23">
        <v>205</v>
      </c>
      <c r="D23">
        <v>0.2</v>
      </c>
      <c r="E23">
        <v>18000</v>
      </c>
      <c r="F23">
        <v>270</v>
      </c>
      <c r="G23">
        <f t="shared" si="2"/>
        <v>300</v>
      </c>
      <c r="H23">
        <v>6</v>
      </c>
      <c r="I23">
        <f t="shared" si="3"/>
        <v>45</v>
      </c>
      <c r="J23">
        <f>SQRT(12*(1-0.3^2)*I23^2*N23/(4*PI()^2*O23))</f>
        <v>0.94604146249571819</v>
      </c>
      <c r="K23">
        <f t="shared" ref="K23" si="36">H23*I23/200</f>
        <v>1.35</v>
      </c>
      <c r="L23">
        <f t="shared" si="0"/>
        <v>18</v>
      </c>
      <c r="M23">
        <v>2.5</v>
      </c>
      <c r="N23">
        <f t="shared" si="5"/>
        <v>325</v>
      </c>
      <c r="O23">
        <f>193000*D23+(1-D23)*206000</f>
        <v>203400</v>
      </c>
      <c r="P23">
        <f>H23*I23*H23*4</f>
        <v>6480</v>
      </c>
      <c r="Q23">
        <f>PI()*(M23*H23)^2-PI()*((M23-1)*H23)^2</f>
        <v>452.38934211693021</v>
      </c>
      <c r="R23">
        <f t="shared" ref="R23:R30" si="37">P23+Q23</f>
        <v>6932.3893421169305</v>
      </c>
      <c r="S23">
        <f t="shared" si="7"/>
        <v>98937843.544753</v>
      </c>
      <c r="T23">
        <f t="shared" ref="T23:T30" si="38">SQRT(S23/R23)</f>
        <v>119.46474135158041</v>
      </c>
      <c r="U23">
        <f t="shared" ref="U23:U30" si="39">E23/T23</f>
        <v>150.67207107598929</v>
      </c>
      <c r="V23">
        <f t="shared" ref="V23:V30" si="40">U23/PI()*SQRT(N23/O23)</f>
        <v>1.9171190885974134</v>
      </c>
      <c r="W23">
        <f t="shared" ref="W23:W30" si="41">R23*N23/1000</f>
        <v>2253.0265361880024</v>
      </c>
      <c r="X23">
        <v>553.9</v>
      </c>
      <c r="Y23">
        <f t="shared" si="12"/>
        <v>0.24584708218180532</v>
      </c>
      <c r="Z23" t="str">
        <f t="shared" si="13"/>
        <v>MC-L22</v>
      </c>
      <c r="AA23">
        <f t="shared" si="14"/>
        <v>490</v>
      </c>
      <c r="AB23">
        <f>C23/(0.2+185*C23/193000)</f>
        <v>517.02058150931066</v>
      </c>
      <c r="AC23">
        <f t="shared" si="15"/>
        <v>519.7880493042129</v>
      </c>
      <c r="AD23">
        <f t="shared" si="16"/>
        <v>325.88344850615891</v>
      </c>
      <c r="AE23">
        <f t="shared" si="17"/>
        <v>473.25094511267991</v>
      </c>
      <c r="AF23">
        <f t="shared" ref="AF23:AF30" si="42">(AE23*Q23+N23*P23)/1000</f>
        <v>2320.0936837157406</v>
      </c>
      <c r="AG23">
        <f t="shared" si="1"/>
        <v>0.23874035944656458</v>
      </c>
    </row>
    <row r="24" spans="1:33" x14ac:dyDescent="0.25">
      <c r="A24">
        <v>23</v>
      </c>
      <c r="B24">
        <v>355</v>
      </c>
      <c r="C24">
        <v>205</v>
      </c>
      <c r="D24">
        <v>0.2</v>
      </c>
      <c r="E24">
        <v>2000</v>
      </c>
      <c r="F24">
        <v>270</v>
      </c>
      <c r="G24">
        <f t="shared" si="2"/>
        <v>300</v>
      </c>
      <c r="H24">
        <v>6</v>
      </c>
      <c r="I24">
        <f t="shared" si="3"/>
        <v>45</v>
      </c>
      <c r="J24">
        <f>SQRT(12*(1-0.3^2)*I24^2*N24/(4*PI()^2*O24))</f>
        <v>0.94604146249571819</v>
      </c>
      <c r="K24">
        <f>H24*I24/400</f>
        <v>0.67500000000000004</v>
      </c>
      <c r="L24">
        <f t="shared" si="0"/>
        <v>2</v>
      </c>
      <c r="M24">
        <v>2.5</v>
      </c>
      <c r="N24">
        <f t="shared" si="5"/>
        <v>325</v>
      </c>
      <c r="O24">
        <f>193000*D24+(1-D24)*206000</f>
        <v>203400</v>
      </c>
      <c r="P24">
        <f>H24*I24*H24*4</f>
        <v>6480</v>
      </c>
      <c r="Q24">
        <f>PI()*(M24*H24)^2-PI()*((M24-1)*H24)^2</f>
        <v>452.38934211693021</v>
      </c>
      <c r="R24">
        <f t="shared" si="37"/>
        <v>6932.3893421169305</v>
      </c>
      <c r="S24">
        <f t="shared" si="7"/>
        <v>98937843.544753</v>
      </c>
      <c r="T24">
        <f t="shared" si="38"/>
        <v>119.46474135158041</v>
      </c>
      <c r="U24">
        <f t="shared" si="39"/>
        <v>16.741341230665476</v>
      </c>
      <c r="V24">
        <f t="shared" si="40"/>
        <v>0.21301323206637926</v>
      </c>
      <c r="W24">
        <f t="shared" si="41"/>
        <v>2253.0265361880024</v>
      </c>
      <c r="X24">
        <v>1755.6</v>
      </c>
      <c r="Y24">
        <f t="shared" si="12"/>
        <v>0.77921851864664626</v>
      </c>
      <c r="Z24" t="str">
        <f t="shared" si="13"/>
        <v>MC-L23</v>
      </c>
      <c r="AA24">
        <f t="shared" si="14"/>
        <v>490</v>
      </c>
      <c r="AB24">
        <f>C24/(0.2+185*C24/193000)</f>
        <v>517.02058150931066</v>
      </c>
      <c r="AC24">
        <f t="shared" si="15"/>
        <v>519.7880493042129</v>
      </c>
      <c r="AD24">
        <f t="shared" si="16"/>
        <v>325.88344850615891</v>
      </c>
      <c r="AE24">
        <f t="shared" si="17"/>
        <v>473.25094511267991</v>
      </c>
      <c r="AF24">
        <f t="shared" si="42"/>
        <v>2320.0936837157406</v>
      </c>
      <c r="AG24">
        <f t="shared" si="1"/>
        <v>0.75669358195412306</v>
      </c>
    </row>
    <row r="25" spans="1:33" x14ac:dyDescent="0.25">
      <c r="A25">
        <v>24</v>
      </c>
      <c r="B25">
        <v>355</v>
      </c>
      <c r="C25">
        <v>205</v>
      </c>
      <c r="D25">
        <v>0.2</v>
      </c>
      <c r="E25">
        <v>3000</v>
      </c>
      <c r="F25">
        <v>270</v>
      </c>
      <c r="G25">
        <f t="shared" si="2"/>
        <v>300</v>
      </c>
      <c r="H25">
        <v>6</v>
      </c>
      <c r="I25">
        <f t="shared" si="3"/>
        <v>45</v>
      </c>
      <c r="J25">
        <f t="shared" ref="J25:J30" si="43">SQRT(12*(1-0.3^2)*I25^2*N25/(4*PI()^2*O25))</f>
        <v>0.94604146249571819</v>
      </c>
      <c r="K25">
        <f t="shared" ref="K25:K34" si="44">H25*I25/400</f>
        <v>0.67500000000000004</v>
      </c>
      <c r="L25">
        <f t="shared" si="0"/>
        <v>3</v>
      </c>
      <c r="M25">
        <v>2.5</v>
      </c>
      <c r="N25">
        <f t="shared" si="5"/>
        <v>325</v>
      </c>
      <c r="O25">
        <f t="shared" ref="O25:O30" si="45">193000*D25+(1-D25)*206000</f>
        <v>203400</v>
      </c>
      <c r="P25">
        <f t="shared" ref="P25:P30" si="46">H25*I25*H25*4</f>
        <v>6480</v>
      </c>
      <c r="Q25">
        <f t="shared" ref="Q25:Q30" si="47">PI()*(M25*H25)^2-PI()*((M25-1)*H25)^2</f>
        <v>452.38934211693021</v>
      </c>
      <c r="R25">
        <f t="shared" si="37"/>
        <v>6932.3893421169305</v>
      </c>
      <c r="S25">
        <f t="shared" si="7"/>
        <v>98937843.544753</v>
      </c>
      <c r="T25">
        <f t="shared" si="38"/>
        <v>119.46474135158041</v>
      </c>
      <c r="U25">
        <f t="shared" si="39"/>
        <v>25.112011845998214</v>
      </c>
      <c r="V25">
        <f t="shared" si="40"/>
        <v>0.3195198480995689</v>
      </c>
      <c r="W25">
        <f t="shared" si="41"/>
        <v>2253.0265361880024</v>
      </c>
      <c r="X25">
        <v>1758.9</v>
      </c>
      <c r="Y25">
        <f t="shared" si="12"/>
        <v>0.78068321511026795</v>
      </c>
      <c r="Z25" t="str">
        <f t="shared" si="13"/>
        <v>MC-L24</v>
      </c>
      <c r="AA25">
        <f t="shared" si="14"/>
        <v>490</v>
      </c>
      <c r="AB25">
        <f t="shared" ref="AB25:AB30" si="48">C25/(0.2+185*C25/193000)</f>
        <v>517.02058150931066</v>
      </c>
      <c r="AC25">
        <f t="shared" si="15"/>
        <v>519.7880493042129</v>
      </c>
      <c r="AD25">
        <f t="shared" si="16"/>
        <v>325.88344850615891</v>
      </c>
      <c r="AE25">
        <f t="shared" si="17"/>
        <v>473.25094511267991</v>
      </c>
      <c r="AF25">
        <f t="shared" si="42"/>
        <v>2320.0936837157406</v>
      </c>
      <c r="AG25">
        <f t="shared" si="1"/>
        <v>0.75811593831117974</v>
      </c>
    </row>
    <row r="26" spans="1:33" x14ac:dyDescent="0.25">
      <c r="A26">
        <v>25</v>
      </c>
      <c r="B26">
        <v>355</v>
      </c>
      <c r="C26">
        <v>205</v>
      </c>
      <c r="D26">
        <v>0.2</v>
      </c>
      <c r="E26">
        <v>4000</v>
      </c>
      <c r="F26">
        <v>270</v>
      </c>
      <c r="G26">
        <f t="shared" si="2"/>
        <v>300</v>
      </c>
      <c r="H26">
        <v>6</v>
      </c>
      <c r="I26">
        <f t="shared" si="3"/>
        <v>45</v>
      </c>
      <c r="J26">
        <f t="shared" si="43"/>
        <v>0.94604146249571819</v>
      </c>
      <c r="K26">
        <f t="shared" si="44"/>
        <v>0.67500000000000004</v>
      </c>
      <c r="L26">
        <f t="shared" si="0"/>
        <v>4</v>
      </c>
      <c r="M26">
        <v>2.5</v>
      </c>
      <c r="N26">
        <f t="shared" si="5"/>
        <v>325</v>
      </c>
      <c r="O26">
        <f t="shared" si="45"/>
        <v>203400</v>
      </c>
      <c r="P26">
        <f t="shared" si="46"/>
        <v>6480</v>
      </c>
      <c r="Q26">
        <f t="shared" si="47"/>
        <v>452.38934211693021</v>
      </c>
      <c r="R26">
        <f t="shared" si="37"/>
        <v>6932.3893421169305</v>
      </c>
      <c r="S26">
        <f t="shared" si="7"/>
        <v>98937843.544753</v>
      </c>
      <c r="T26">
        <f t="shared" si="38"/>
        <v>119.46474135158041</v>
      </c>
      <c r="U26">
        <f t="shared" si="39"/>
        <v>33.482682461330953</v>
      </c>
      <c r="V26">
        <f t="shared" si="40"/>
        <v>0.42602646413275852</v>
      </c>
      <c r="W26">
        <f t="shared" si="41"/>
        <v>2253.0265361880024</v>
      </c>
      <c r="X26">
        <v>1744</v>
      </c>
      <c r="Y26">
        <f t="shared" si="12"/>
        <v>0.77406988865331017</v>
      </c>
      <c r="Z26" t="str">
        <f t="shared" si="13"/>
        <v>MC-L25</v>
      </c>
      <c r="AA26">
        <f t="shared" si="14"/>
        <v>490</v>
      </c>
      <c r="AB26">
        <f t="shared" si="48"/>
        <v>517.02058150931066</v>
      </c>
      <c r="AC26">
        <f t="shared" si="15"/>
        <v>519.7880493042129</v>
      </c>
      <c r="AD26">
        <f t="shared" si="16"/>
        <v>325.88344850615891</v>
      </c>
      <c r="AE26">
        <f t="shared" si="17"/>
        <v>473.25094511267991</v>
      </c>
      <c r="AF26">
        <f t="shared" si="42"/>
        <v>2320.0936837157406</v>
      </c>
      <c r="AG26">
        <f t="shared" si="1"/>
        <v>0.7516937838505301</v>
      </c>
    </row>
    <row r="27" spans="1:33" x14ac:dyDescent="0.25">
      <c r="A27">
        <v>26</v>
      </c>
      <c r="B27">
        <v>355</v>
      </c>
      <c r="C27">
        <v>205</v>
      </c>
      <c r="D27">
        <v>0.2</v>
      </c>
      <c r="E27">
        <v>5000</v>
      </c>
      <c r="F27">
        <v>270</v>
      </c>
      <c r="G27">
        <f t="shared" si="2"/>
        <v>300</v>
      </c>
      <c r="H27">
        <v>6</v>
      </c>
      <c r="I27">
        <f t="shared" si="3"/>
        <v>45</v>
      </c>
      <c r="J27">
        <f t="shared" si="43"/>
        <v>0.94604146249571819</v>
      </c>
      <c r="K27">
        <f t="shared" si="44"/>
        <v>0.67500000000000004</v>
      </c>
      <c r="L27">
        <f t="shared" si="0"/>
        <v>5</v>
      </c>
      <c r="M27">
        <v>2.5</v>
      </c>
      <c r="N27">
        <f t="shared" si="5"/>
        <v>325</v>
      </c>
      <c r="O27">
        <f t="shared" si="45"/>
        <v>203400</v>
      </c>
      <c r="P27">
        <f t="shared" si="46"/>
        <v>6480</v>
      </c>
      <c r="Q27">
        <f t="shared" si="47"/>
        <v>452.38934211693021</v>
      </c>
      <c r="R27">
        <f t="shared" si="37"/>
        <v>6932.3893421169305</v>
      </c>
      <c r="S27">
        <f t="shared" si="7"/>
        <v>98937843.544753</v>
      </c>
      <c r="T27">
        <f t="shared" si="38"/>
        <v>119.46474135158041</v>
      </c>
      <c r="U27">
        <f t="shared" si="39"/>
        <v>41.853353076663687</v>
      </c>
      <c r="V27">
        <f t="shared" si="40"/>
        <v>0.53253308016594814</v>
      </c>
      <c r="W27">
        <f t="shared" si="41"/>
        <v>2253.0265361880024</v>
      </c>
      <c r="X27">
        <v>1727.1</v>
      </c>
      <c r="Y27">
        <f t="shared" si="12"/>
        <v>0.76656886736991503</v>
      </c>
      <c r="Z27" t="str">
        <f t="shared" si="13"/>
        <v>MC-L26</v>
      </c>
      <c r="AA27">
        <f t="shared" si="14"/>
        <v>490</v>
      </c>
      <c r="AB27">
        <f t="shared" si="48"/>
        <v>517.02058150931066</v>
      </c>
      <c r="AC27">
        <f t="shared" si="15"/>
        <v>519.7880493042129</v>
      </c>
      <c r="AD27">
        <f t="shared" si="16"/>
        <v>325.88344850615891</v>
      </c>
      <c r="AE27">
        <f t="shared" si="17"/>
        <v>473.25094511267991</v>
      </c>
      <c r="AF27">
        <f t="shared" si="42"/>
        <v>2320.0936837157406</v>
      </c>
      <c r="AG27">
        <f t="shared" si="1"/>
        <v>0.74440959523408856</v>
      </c>
    </row>
    <row r="28" spans="1:33" x14ac:dyDescent="0.25">
      <c r="A28">
        <v>27</v>
      </c>
      <c r="B28">
        <v>355</v>
      </c>
      <c r="C28">
        <v>205</v>
      </c>
      <c r="D28">
        <v>0.2</v>
      </c>
      <c r="E28">
        <v>6000</v>
      </c>
      <c r="F28">
        <v>270</v>
      </c>
      <c r="G28">
        <f t="shared" si="2"/>
        <v>300</v>
      </c>
      <c r="H28">
        <v>6</v>
      </c>
      <c r="I28">
        <f t="shared" si="3"/>
        <v>45</v>
      </c>
      <c r="J28">
        <f t="shared" si="43"/>
        <v>0.94604146249571819</v>
      </c>
      <c r="K28">
        <f t="shared" si="44"/>
        <v>0.67500000000000004</v>
      </c>
      <c r="L28">
        <f t="shared" si="0"/>
        <v>6</v>
      </c>
      <c r="M28">
        <v>2.5</v>
      </c>
      <c r="N28">
        <f t="shared" si="5"/>
        <v>325</v>
      </c>
      <c r="O28">
        <f t="shared" si="45"/>
        <v>203400</v>
      </c>
      <c r="P28">
        <f t="shared" si="46"/>
        <v>6480</v>
      </c>
      <c r="Q28">
        <f t="shared" si="47"/>
        <v>452.38934211693021</v>
      </c>
      <c r="R28">
        <f t="shared" si="37"/>
        <v>6932.3893421169305</v>
      </c>
      <c r="S28">
        <f t="shared" si="7"/>
        <v>98937843.544753</v>
      </c>
      <c r="T28">
        <f t="shared" si="38"/>
        <v>119.46474135158041</v>
      </c>
      <c r="U28">
        <f t="shared" si="39"/>
        <v>50.224023691996429</v>
      </c>
      <c r="V28">
        <f t="shared" si="40"/>
        <v>0.63903969619913781</v>
      </c>
      <c r="W28">
        <f t="shared" si="41"/>
        <v>2253.0265361880024</v>
      </c>
      <c r="X28">
        <v>1695.1</v>
      </c>
      <c r="Y28">
        <f t="shared" si="12"/>
        <v>0.75236575014691853</v>
      </c>
      <c r="Z28" t="str">
        <f t="shared" si="13"/>
        <v>MC-L27</v>
      </c>
      <c r="AA28">
        <f t="shared" si="14"/>
        <v>490</v>
      </c>
      <c r="AB28">
        <f t="shared" si="48"/>
        <v>517.02058150931066</v>
      </c>
      <c r="AC28">
        <f t="shared" si="15"/>
        <v>519.7880493042129</v>
      </c>
      <c r="AD28">
        <f t="shared" si="16"/>
        <v>325.88344850615891</v>
      </c>
      <c r="AE28">
        <f t="shared" si="17"/>
        <v>473.25094511267991</v>
      </c>
      <c r="AF28">
        <f t="shared" si="42"/>
        <v>2320.0936837157406</v>
      </c>
      <c r="AG28">
        <f t="shared" si="1"/>
        <v>0.73061704874141831</v>
      </c>
    </row>
    <row r="29" spans="1:33" x14ac:dyDescent="0.25">
      <c r="A29">
        <v>28</v>
      </c>
      <c r="B29">
        <v>355</v>
      </c>
      <c r="C29">
        <v>205</v>
      </c>
      <c r="D29">
        <v>0.2</v>
      </c>
      <c r="E29">
        <v>8000</v>
      </c>
      <c r="F29">
        <v>270</v>
      </c>
      <c r="G29">
        <f t="shared" si="2"/>
        <v>300</v>
      </c>
      <c r="H29">
        <v>6</v>
      </c>
      <c r="I29">
        <f t="shared" si="3"/>
        <v>45</v>
      </c>
      <c r="J29">
        <f t="shared" si="43"/>
        <v>0.94604146249571819</v>
      </c>
      <c r="K29">
        <f t="shared" si="44"/>
        <v>0.67500000000000004</v>
      </c>
      <c r="L29">
        <f t="shared" si="0"/>
        <v>8</v>
      </c>
      <c r="M29">
        <v>2.5</v>
      </c>
      <c r="N29">
        <f t="shared" si="5"/>
        <v>325</v>
      </c>
      <c r="O29">
        <f t="shared" si="45"/>
        <v>203400</v>
      </c>
      <c r="P29">
        <f t="shared" si="46"/>
        <v>6480</v>
      </c>
      <c r="Q29">
        <f t="shared" si="47"/>
        <v>452.38934211693021</v>
      </c>
      <c r="R29">
        <f t="shared" si="37"/>
        <v>6932.3893421169305</v>
      </c>
      <c r="S29">
        <f t="shared" si="7"/>
        <v>98937843.544753</v>
      </c>
      <c r="T29">
        <f t="shared" si="38"/>
        <v>119.46474135158041</v>
      </c>
      <c r="U29">
        <f t="shared" si="39"/>
        <v>66.965364922661905</v>
      </c>
      <c r="V29">
        <f t="shared" si="40"/>
        <v>0.85205292826551704</v>
      </c>
      <c r="W29">
        <f t="shared" si="41"/>
        <v>2253.0265361880024</v>
      </c>
      <c r="X29">
        <v>1578.9</v>
      </c>
      <c r="Y29">
        <f t="shared" si="12"/>
        <v>0.70079068073091255</v>
      </c>
      <c r="Z29" t="str">
        <f t="shared" si="13"/>
        <v>MC-L28</v>
      </c>
      <c r="AA29">
        <f t="shared" si="14"/>
        <v>490</v>
      </c>
      <c r="AB29">
        <f t="shared" si="48"/>
        <v>517.02058150931066</v>
      </c>
      <c r="AC29">
        <f t="shared" si="15"/>
        <v>519.7880493042129</v>
      </c>
      <c r="AD29">
        <f t="shared" si="16"/>
        <v>325.88344850615891</v>
      </c>
      <c r="AE29">
        <f t="shared" si="17"/>
        <v>473.25094511267991</v>
      </c>
      <c r="AF29">
        <f t="shared" si="42"/>
        <v>2320.0936837157406</v>
      </c>
      <c r="AG29">
        <f t="shared" si="1"/>
        <v>0.68053286428990944</v>
      </c>
    </row>
    <row r="30" spans="1:33" x14ac:dyDescent="0.25">
      <c r="A30">
        <v>29</v>
      </c>
      <c r="B30">
        <v>355</v>
      </c>
      <c r="C30">
        <v>205</v>
      </c>
      <c r="D30">
        <v>0.2</v>
      </c>
      <c r="E30">
        <v>10000</v>
      </c>
      <c r="F30">
        <v>270</v>
      </c>
      <c r="G30">
        <f t="shared" si="2"/>
        <v>300</v>
      </c>
      <c r="H30">
        <v>6</v>
      </c>
      <c r="I30">
        <f t="shared" si="3"/>
        <v>45</v>
      </c>
      <c r="J30">
        <f t="shared" si="43"/>
        <v>0.94604146249571819</v>
      </c>
      <c r="K30">
        <f t="shared" si="44"/>
        <v>0.67500000000000004</v>
      </c>
      <c r="L30">
        <f t="shared" si="0"/>
        <v>10</v>
      </c>
      <c r="M30">
        <v>2.5</v>
      </c>
      <c r="N30">
        <f t="shared" si="5"/>
        <v>325</v>
      </c>
      <c r="O30">
        <f t="shared" si="45"/>
        <v>203400</v>
      </c>
      <c r="P30">
        <f t="shared" si="46"/>
        <v>6480</v>
      </c>
      <c r="Q30">
        <f t="shared" si="47"/>
        <v>452.38934211693021</v>
      </c>
      <c r="R30">
        <f t="shared" si="37"/>
        <v>6932.3893421169305</v>
      </c>
      <c r="S30">
        <f t="shared" si="7"/>
        <v>98937843.544753</v>
      </c>
      <c r="T30">
        <f t="shared" si="38"/>
        <v>119.46474135158041</v>
      </c>
      <c r="U30">
        <f t="shared" si="39"/>
        <v>83.706706153327374</v>
      </c>
      <c r="V30">
        <f t="shared" si="40"/>
        <v>1.0650661603318963</v>
      </c>
      <c r="W30">
        <f t="shared" si="41"/>
        <v>2253.0265361880024</v>
      </c>
      <c r="X30">
        <v>1355.7</v>
      </c>
      <c r="Y30">
        <f t="shared" si="12"/>
        <v>0.60172393810051183</v>
      </c>
      <c r="Z30" t="str">
        <f t="shared" si="13"/>
        <v>MC-L29</v>
      </c>
      <c r="AA30">
        <f t="shared" si="14"/>
        <v>490</v>
      </c>
      <c r="AB30">
        <f t="shared" si="48"/>
        <v>517.02058150931066</v>
      </c>
      <c r="AC30">
        <f t="shared" si="15"/>
        <v>519.7880493042129</v>
      </c>
      <c r="AD30">
        <f t="shared" si="16"/>
        <v>325.88344850615891</v>
      </c>
      <c r="AE30">
        <f t="shared" si="17"/>
        <v>473.25094511267991</v>
      </c>
      <c r="AF30">
        <f t="shared" si="42"/>
        <v>2320.0936837157406</v>
      </c>
      <c r="AG30">
        <f t="shared" si="1"/>
        <v>0.5843298525035342</v>
      </c>
    </row>
    <row r="31" spans="1:33" x14ac:dyDescent="0.25">
      <c r="A31">
        <v>30</v>
      </c>
      <c r="B31">
        <v>355</v>
      </c>
      <c r="C31">
        <v>205</v>
      </c>
      <c r="D31">
        <v>0.2</v>
      </c>
      <c r="E31">
        <v>12000</v>
      </c>
      <c r="F31">
        <v>270</v>
      </c>
      <c r="G31">
        <f t="shared" si="2"/>
        <v>300</v>
      </c>
      <c r="H31">
        <v>6</v>
      </c>
      <c r="I31">
        <f t="shared" si="3"/>
        <v>45</v>
      </c>
      <c r="J31">
        <f>SQRT(12*(1-0.3^2)*I31^2*N31/(4*PI()^2*O31))</f>
        <v>0.94604146249571819</v>
      </c>
      <c r="K31">
        <f t="shared" si="44"/>
        <v>0.67500000000000004</v>
      </c>
      <c r="L31">
        <f t="shared" si="0"/>
        <v>12</v>
      </c>
      <c r="M31">
        <v>2.5</v>
      </c>
      <c r="N31">
        <f t="shared" si="5"/>
        <v>325</v>
      </c>
      <c r="O31">
        <f>193000*D31+(1-D31)*206000</f>
        <v>203400</v>
      </c>
      <c r="P31">
        <f>H31*I31*H31*4</f>
        <v>6480</v>
      </c>
      <c r="Q31">
        <f>PI()*(M31*H31)^2-PI()*((M31-1)*H31)^2</f>
        <v>452.38934211693021</v>
      </c>
      <c r="R31">
        <f>P31+Q31</f>
        <v>6932.3893421169305</v>
      </c>
      <c r="S31">
        <f t="shared" si="7"/>
        <v>98937843.544753</v>
      </c>
      <c r="T31">
        <f>SQRT(S31/R31)</f>
        <v>119.46474135158041</v>
      </c>
      <c r="U31">
        <f>E31/T31</f>
        <v>100.44804738399286</v>
      </c>
      <c r="V31">
        <f>U31/PI()*SQRT(N31/O31)</f>
        <v>1.2780793923982756</v>
      </c>
      <c r="W31">
        <f>R31*N31/1000</f>
        <v>2253.0265361880024</v>
      </c>
      <c r="X31">
        <v>1092.7</v>
      </c>
      <c r="Y31">
        <f t="shared" si="12"/>
        <v>0.48499206842400916</v>
      </c>
      <c r="Z31" t="str">
        <f t="shared" si="13"/>
        <v>MC-L30</v>
      </c>
      <c r="AA31">
        <f t="shared" si="14"/>
        <v>490</v>
      </c>
      <c r="AB31">
        <f>C31/(0.2+185*C31/193000)</f>
        <v>517.02058150931066</v>
      </c>
      <c r="AC31">
        <f t="shared" si="15"/>
        <v>519.7880493042129</v>
      </c>
      <c r="AD31">
        <f t="shared" si="16"/>
        <v>325.88344850615891</v>
      </c>
      <c r="AE31">
        <f t="shared" si="17"/>
        <v>473.25094511267991</v>
      </c>
      <c r="AF31">
        <f>(AE31*Q31+N31*P31)/1000</f>
        <v>2320.0936837157406</v>
      </c>
      <c r="AG31">
        <f t="shared" si="1"/>
        <v>0.47097236101690038</v>
      </c>
    </row>
    <row r="32" spans="1:33" x14ac:dyDescent="0.25">
      <c r="A32">
        <v>31</v>
      </c>
      <c r="B32">
        <v>355</v>
      </c>
      <c r="C32">
        <v>205</v>
      </c>
      <c r="D32">
        <v>0.2</v>
      </c>
      <c r="E32">
        <v>14000</v>
      </c>
      <c r="F32">
        <v>270</v>
      </c>
      <c r="G32">
        <f t="shared" si="2"/>
        <v>300</v>
      </c>
      <c r="H32">
        <v>6</v>
      </c>
      <c r="I32">
        <f t="shared" si="3"/>
        <v>45</v>
      </c>
      <c r="J32">
        <f>SQRT(12*(1-0.3^2)*I32^2*N32/(4*PI()^2*O32))</f>
        <v>0.94604146249571819</v>
      </c>
      <c r="K32">
        <f t="shared" si="44"/>
        <v>0.67500000000000004</v>
      </c>
      <c r="L32">
        <f t="shared" si="0"/>
        <v>14</v>
      </c>
      <c r="M32">
        <v>2.5</v>
      </c>
      <c r="N32">
        <f t="shared" si="5"/>
        <v>325</v>
      </c>
      <c r="O32">
        <f>193000*D32+(1-D32)*206000</f>
        <v>203400</v>
      </c>
      <c r="P32">
        <f>H32*I32*H32*4</f>
        <v>6480</v>
      </c>
      <c r="Q32">
        <f>PI()*(M32*H32)^2-PI()*((M32-1)*H32)^2</f>
        <v>452.38934211693021</v>
      </c>
      <c r="R32">
        <f t="shared" ref="R32:R34" si="49">P32+Q32</f>
        <v>6932.3893421169305</v>
      </c>
      <c r="S32">
        <f t="shared" si="7"/>
        <v>98937843.544753</v>
      </c>
      <c r="T32">
        <f t="shared" ref="T32:T34" si="50">SQRT(S32/R32)</f>
        <v>119.46474135158041</v>
      </c>
      <c r="U32">
        <f t="shared" ref="U32:U34" si="51">E32/T32</f>
        <v>117.18938861465833</v>
      </c>
      <c r="V32">
        <f t="shared" ref="V32:V34" si="52">U32/PI()*SQRT(N32/O32)</f>
        <v>1.4910926244646545</v>
      </c>
      <c r="W32">
        <f t="shared" ref="W32:W34" si="53">R32*N32/1000</f>
        <v>2253.0265361880024</v>
      </c>
      <c r="X32">
        <v>874.1</v>
      </c>
      <c r="Y32">
        <f t="shared" si="12"/>
        <v>0.38796702389441423</v>
      </c>
      <c r="Z32" t="str">
        <f t="shared" si="13"/>
        <v>MC-L31</v>
      </c>
      <c r="AA32">
        <f t="shared" si="14"/>
        <v>490</v>
      </c>
      <c r="AB32">
        <f>C32/(0.2+185*C32/193000)</f>
        <v>517.02058150931066</v>
      </c>
      <c r="AC32">
        <f t="shared" si="15"/>
        <v>519.7880493042129</v>
      </c>
      <c r="AD32">
        <f t="shared" si="16"/>
        <v>325.88344850615891</v>
      </c>
      <c r="AE32">
        <f t="shared" si="17"/>
        <v>473.25094511267991</v>
      </c>
      <c r="AF32">
        <f t="shared" ref="AF32:AF34" si="54">(AE32*Q32+N32*P32)/1000</f>
        <v>2320.0936837157406</v>
      </c>
      <c r="AG32">
        <f t="shared" si="1"/>
        <v>0.37675202778884653</v>
      </c>
    </row>
    <row r="33" spans="1:33" x14ac:dyDescent="0.25">
      <c r="A33">
        <v>32</v>
      </c>
      <c r="B33">
        <v>355</v>
      </c>
      <c r="C33">
        <v>205</v>
      </c>
      <c r="D33">
        <v>0.2</v>
      </c>
      <c r="E33">
        <v>16000</v>
      </c>
      <c r="F33">
        <v>270</v>
      </c>
      <c r="G33">
        <f t="shared" si="2"/>
        <v>300</v>
      </c>
      <c r="H33">
        <v>6</v>
      </c>
      <c r="I33">
        <f t="shared" si="3"/>
        <v>45</v>
      </c>
      <c r="J33">
        <f>SQRT(12*(1-0.3^2)*I33^2*N33/(4*PI()^2*O33))</f>
        <v>0.94604146249571819</v>
      </c>
      <c r="K33">
        <f t="shared" si="44"/>
        <v>0.67500000000000004</v>
      </c>
      <c r="L33">
        <f t="shared" si="0"/>
        <v>16</v>
      </c>
      <c r="M33">
        <v>2.5</v>
      </c>
      <c r="N33">
        <f t="shared" si="5"/>
        <v>325</v>
      </c>
      <c r="O33">
        <f>193000*D33+(1-D33)*206000</f>
        <v>203400</v>
      </c>
      <c r="P33">
        <f>H33*I33*H33*4</f>
        <v>6480</v>
      </c>
      <c r="Q33">
        <f>PI()*(M33*H33)^2-PI()*((M33-1)*H33)^2</f>
        <v>452.38934211693021</v>
      </c>
      <c r="R33">
        <f t="shared" si="49"/>
        <v>6932.3893421169305</v>
      </c>
      <c r="S33">
        <f t="shared" si="7"/>
        <v>98937843.544753</v>
      </c>
      <c r="T33">
        <f t="shared" si="50"/>
        <v>119.46474135158041</v>
      </c>
      <c r="U33">
        <f t="shared" si="51"/>
        <v>133.93072984532381</v>
      </c>
      <c r="V33">
        <f t="shared" si="52"/>
        <v>1.7041058565310341</v>
      </c>
      <c r="W33">
        <f t="shared" si="53"/>
        <v>2253.0265361880024</v>
      </c>
      <c r="X33">
        <v>691.3</v>
      </c>
      <c r="Y33">
        <f t="shared" si="12"/>
        <v>0.3068317167580466</v>
      </c>
      <c r="Z33" t="str">
        <f t="shared" si="13"/>
        <v>MC-L32</v>
      </c>
      <c r="AA33">
        <f t="shared" si="14"/>
        <v>490</v>
      </c>
      <c r="AB33">
        <f>C33/(0.2+185*C33/193000)</f>
        <v>517.02058150931066</v>
      </c>
      <c r="AC33">
        <f t="shared" si="15"/>
        <v>519.7880493042129</v>
      </c>
      <c r="AD33">
        <f t="shared" si="16"/>
        <v>325.88344850615891</v>
      </c>
      <c r="AE33">
        <f t="shared" si="17"/>
        <v>473.25094511267991</v>
      </c>
      <c r="AF33">
        <f t="shared" si="54"/>
        <v>2320.0936837157406</v>
      </c>
      <c r="AG33">
        <f t="shared" si="1"/>
        <v>0.29796210594946754</v>
      </c>
    </row>
    <row r="34" spans="1:33" x14ac:dyDescent="0.25">
      <c r="A34">
        <v>33</v>
      </c>
      <c r="B34">
        <v>355</v>
      </c>
      <c r="C34">
        <v>205</v>
      </c>
      <c r="D34">
        <v>0.2</v>
      </c>
      <c r="E34">
        <v>18000</v>
      </c>
      <c r="F34">
        <v>270</v>
      </c>
      <c r="G34">
        <f t="shared" si="2"/>
        <v>300</v>
      </c>
      <c r="H34">
        <v>6</v>
      </c>
      <c r="I34">
        <f t="shared" si="3"/>
        <v>45</v>
      </c>
      <c r="J34">
        <f t="shared" ref="J34" si="55">SQRT(12*(1-0.3^2)*I34^2*N34/(4*PI()^2*O34))</f>
        <v>0.94604146249571819</v>
      </c>
      <c r="K34">
        <f t="shared" si="44"/>
        <v>0.67500000000000004</v>
      </c>
      <c r="L34">
        <f t="shared" si="0"/>
        <v>18</v>
      </c>
      <c r="M34">
        <v>2.5</v>
      </c>
      <c r="N34">
        <f t="shared" si="5"/>
        <v>325</v>
      </c>
      <c r="O34">
        <f t="shared" ref="O34" si="56">193000*D34+(1-D34)*206000</f>
        <v>203400</v>
      </c>
      <c r="P34">
        <f t="shared" ref="P34" si="57">H34*I34*H34*4</f>
        <v>6480</v>
      </c>
      <c r="Q34">
        <f t="shared" ref="Q34" si="58">PI()*(M34*H34)^2-PI()*((M34-1)*H34)^2</f>
        <v>452.38934211693021</v>
      </c>
      <c r="R34">
        <f t="shared" si="49"/>
        <v>6932.3893421169305</v>
      </c>
      <c r="S34">
        <f t="shared" si="7"/>
        <v>98937843.544753</v>
      </c>
      <c r="T34">
        <f t="shared" si="50"/>
        <v>119.46474135158041</v>
      </c>
      <c r="U34">
        <f t="shared" si="51"/>
        <v>150.67207107598929</v>
      </c>
      <c r="V34">
        <f t="shared" si="52"/>
        <v>1.9171190885974134</v>
      </c>
      <c r="W34">
        <f t="shared" si="53"/>
        <v>2253.0265361880024</v>
      </c>
      <c r="X34">
        <v>553</v>
      </c>
      <c r="Y34">
        <f t="shared" si="12"/>
        <v>0.24544761950990854</v>
      </c>
      <c r="Z34" t="str">
        <f t="shared" si="13"/>
        <v>MC-L33</v>
      </c>
      <c r="AA34">
        <f t="shared" si="14"/>
        <v>490</v>
      </c>
      <c r="AB34">
        <f t="shared" ref="AB34" si="59">C34/(0.2+185*C34/193000)</f>
        <v>517.02058150931066</v>
      </c>
      <c r="AC34">
        <f t="shared" si="15"/>
        <v>519.7880493042129</v>
      </c>
      <c r="AD34">
        <f t="shared" si="16"/>
        <v>325.88344850615891</v>
      </c>
      <c r="AE34">
        <f t="shared" si="17"/>
        <v>473.25094511267991</v>
      </c>
      <c r="AF34">
        <f t="shared" si="54"/>
        <v>2320.0936837157406</v>
      </c>
      <c r="AG34">
        <f t="shared" si="1"/>
        <v>0.23835244407645823</v>
      </c>
    </row>
    <row r="35" spans="1:33" s="4" customFormat="1" x14ac:dyDescent="0.25"/>
    <row r="36" spans="1:33" s="4" customFormat="1" x14ac:dyDescent="0.25"/>
    <row r="37" spans="1:33" s="4" customFormat="1" x14ac:dyDescent="0.25"/>
    <row r="38" spans="1:33" s="4" customFormat="1" x14ac:dyDescent="0.25"/>
    <row r="39" spans="1:33" s="4" customFormat="1" x14ac:dyDescent="0.25"/>
    <row r="40" spans="1:33" s="4" customFormat="1" x14ac:dyDescent="0.25"/>
    <row r="41" spans="1:33" s="4" customFormat="1" x14ac:dyDescent="0.25"/>
    <row r="42" spans="1:33" s="4" customFormat="1" x14ac:dyDescent="0.25"/>
    <row r="43" spans="1:33" s="4" customFormat="1" x14ac:dyDescent="0.25"/>
    <row r="44" spans="1:33" s="4" customFormat="1" x14ac:dyDescent="0.25"/>
    <row r="45" spans="1:33" s="4" customFormat="1" x14ac:dyDescent="0.25"/>
    <row r="46" spans="1:33" s="4" customFormat="1" x14ac:dyDescent="0.25"/>
    <row r="47" spans="1:33" s="4" customFormat="1" x14ac:dyDescent="0.25"/>
    <row r="48" spans="1:33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93C3-E61A-4B80-B538-EEEB6893C79B}">
  <dimension ref="A1:AH34"/>
  <sheetViews>
    <sheetView tabSelected="1" zoomScale="55" zoomScaleNormal="55" workbookViewId="0">
      <selection activeCell="W35" sqref="W35"/>
    </sheetView>
  </sheetViews>
  <sheetFormatPr defaultRowHeight="13.8" x14ac:dyDescent="0.25"/>
  <cols>
    <col min="2" max="2" width="11" customWidth="1"/>
  </cols>
  <sheetData>
    <row r="1" spans="1:34" x14ac:dyDescent="0.25">
      <c r="A1" t="s">
        <v>0</v>
      </c>
      <c r="B1" t="s">
        <v>37</v>
      </c>
      <c r="C1" s="1" t="s">
        <v>1</v>
      </c>
      <c r="D1" s="1" t="s">
        <v>2</v>
      </c>
      <c r="E1" s="1" t="s">
        <v>3</v>
      </c>
      <c r="F1" s="1" t="s">
        <v>30</v>
      </c>
      <c r="G1" s="1" t="s">
        <v>31</v>
      </c>
      <c r="H1" t="s">
        <v>4</v>
      </c>
      <c r="I1" t="s">
        <v>5</v>
      </c>
      <c r="J1" t="s">
        <v>6</v>
      </c>
      <c r="K1" s="6" t="s">
        <v>26</v>
      </c>
      <c r="L1" s="1" t="s">
        <v>25</v>
      </c>
      <c r="M1" s="1" t="s">
        <v>24</v>
      </c>
      <c r="N1" s="1" t="s">
        <v>22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28</v>
      </c>
      <c r="U1" t="s">
        <v>23</v>
      </c>
      <c r="V1" t="s">
        <v>29</v>
      </c>
      <c r="W1" s="5" t="s">
        <v>27</v>
      </c>
      <c r="X1" s="2" t="s">
        <v>12</v>
      </c>
      <c r="Y1" s="2" t="s">
        <v>13</v>
      </c>
      <c r="Z1" s="3" t="s">
        <v>14</v>
      </c>
      <c r="AA1" s="3" t="s">
        <v>32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s="2" t="s">
        <v>20</v>
      </c>
      <c r="AH1" s="3" t="s">
        <v>21</v>
      </c>
    </row>
    <row r="2" spans="1:34" x14ac:dyDescent="0.25">
      <c r="A2">
        <v>1</v>
      </c>
      <c r="B2" t="str">
        <f t="shared" ref="B2:B34" si="0">"Q"&amp;C2&amp;"+"&amp;"S"&amp;D2</f>
        <v>Q235+S170</v>
      </c>
      <c r="C2">
        <v>235</v>
      </c>
      <c r="D2">
        <v>170</v>
      </c>
      <c r="E2">
        <v>0.2</v>
      </c>
      <c r="F2">
        <v>2000</v>
      </c>
      <c r="G2">
        <v>270</v>
      </c>
      <c r="H2">
        <f t="shared" ref="H2:H34" si="1">G2+2*I2*N2</f>
        <v>300</v>
      </c>
      <c r="I2">
        <v>6</v>
      </c>
      <c r="J2">
        <f>G2/I2</f>
        <v>45</v>
      </c>
      <c r="K2">
        <f t="shared" ref="K2:K34" si="2">SQRT(12*(1-0.3^2)*J2^2*O2/(4*PI()^2*P2))</f>
        <v>0.78188877356732545</v>
      </c>
      <c r="L2">
        <f t="shared" ref="L2:L34" si="3">I2*J2/200</f>
        <v>1.35</v>
      </c>
      <c r="M2">
        <f t="shared" ref="M2:M34" si="4">F2/1000</f>
        <v>2</v>
      </c>
      <c r="N2">
        <v>2.5</v>
      </c>
      <c r="O2">
        <f t="shared" ref="O2:O34" si="5">E2*D2+(1-E2)*C2</f>
        <v>222</v>
      </c>
      <c r="P2">
        <f t="shared" ref="P2:P34" si="6">193000*E2+(1-E2)*206000</f>
        <v>203400</v>
      </c>
      <c r="Q2">
        <f t="shared" ref="Q2:Q34" si="7">I2*J2*I2*4</f>
        <v>6480</v>
      </c>
      <c r="R2">
        <f t="shared" ref="R2:R34" si="8">PI()*(N2*I2)^2-PI()*((N2-1)*I2)^2</f>
        <v>452.38934211693021</v>
      </c>
      <c r="S2">
        <f t="shared" ref="S2:S34" si="9">Q2+R2</f>
        <v>6932.3893421169305</v>
      </c>
      <c r="T2">
        <f>1/12*I2*(I2*J2)^3*2+(1/12*(I2*J2)*I2^3+(I2*J2)*I2*(H2/2-I2/2)^2)*2+PI()/8*((N2*I2)^4-((N2-1)*I2)^4)*2+1/2*PI()*((N2*I2)^2-((N2-1)*I2)^2)*(-1*((4*((N2*I2)^3-((N2-1)*I2)^3))/(3*PI()*((N2*I2)^2-((N2-1)*I2)^2)))^2+1*((4*((N2*I2)^3-((N2-1)*I2)^3))/(3*PI()*((N2*I2)^2-((N2-1)*I2)^2))+I2*J2/2)^2)*2</f>
        <v>98937843.544753</v>
      </c>
      <c r="U2">
        <f t="shared" ref="U2:U34" si="10">SQRT(T2/S2)</f>
        <v>119.46474135158041</v>
      </c>
      <c r="V2">
        <f t="shared" ref="V2:V34" si="11">F2/U2</f>
        <v>16.741341230665476</v>
      </c>
      <c r="W2">
        <f>V2/PI()*SQRT(O2/P2)</f>
        <v>0.17605217252805891</v>
      </c>
      <c r="X2">
        <f t="shared" ref="X2:X34" si="12">S2*O2/1000</f>
        <v>1538.9904339499585</v>
      </c>
      <c r="Y2">
        <v>1220.2</v>
      </c>
      <c r="Z2">
        <f t="shared" ref="Z2:Z34" si="13">Y2/X2</f>
        <v>0.79285742983356045</v>
      </c>
      <c r="AA2" t="str">
        <f>"MC-M"&amp;A2</f>
        <v>MC-M1</v>
      </c>
      <c r="AB2">
        <f>IF(C2=235,360,IF(C2=355,490,560))</f>
        <v>360</v>
      </c>
      <c r="AC2">
        <f>D2/(0.2+185*D2/193000)</f>
        <v>468.37972876516773</v>
      </c>
      <c r="AD2">
        <f>C2*(2.769*(AB2/C2)-0.581*(AB2/C2)^2-1.182)/((N2-1)^(0.314*(AB2/C2)-0.32))</f>
        <v>373.45856872555174</v>
      </c>
      <c r="AE2">
        <f>1.673*D2/(N2-1)^0.126</f>
        <v>270.24481095632694</v>
      </c>
      <c r="AF2">
        <f>AD2*(1-((2*N2*I2-E2*I2)/(2*N2*I2-I2)*E2))+AE2*((2*N2*I2-E2*I2)/(2*N2*I2-I2)*E2)</f>
        <v>348.68726686093777</v>
      </c>
      <c r="AG2">
        <f>(AF2*R2+O2*Q2)/1000</f>
        <v>1596.30240325977</v>
      </c>
      <c r="AH2">
        <f t="shared" ref="AH2:AH34" si="14">Y2/AG2</f>
        <v>0.76439150721583804</v>
      </c>
    </row>
    <row r="3" spans="1:34" x14ac:dyDescent="0.25">
      <c r="A3">
        <v>2</v>
      </c>
      <c r="B3" t="str">
        <f t="shared" si="0"/>
        <v>Q235+S170</v>
      </c>
      <c r="C3">
        <v>235</v>
      </c>
      <c r="D3">
        <v>170</v>
      </c>
      <c r="E3">
        <v>0.2</v>
      </c>
      <c r="F3">
        <v>3000</v>
      </c>
      <c r="G3">
        <v>270</v>
      </c>
      <c r="H3">
        <f t="shared" si="1"/>
        <v>300</v>
      </c>
      <c r="I3">
        <v>6</v>
      </c>
      <c r="J3">
        <f t="shared" ref="J3:J34" si="15">G3/I3</f>
        <v>45</v>
      </c>
      <c r="K3">
        <f t="shared" si="2"/>
        <v>0.78188877356732545</v>
      </c>
      <c r="L3">
        <f t="shared" si="3"/>
        <v>1.35</v>
      </c>
      <c r="M3">
        <f t="shared" si="4"/>
        <v>3</v>
      </c>
      <c r="N3">
        <v>2.5</v>
      </c>
      <c r="O3">
        <f t="shared" si="5"/>
        <v>222</v>
      </c>
      <c r="P3">
        <f t="shared" si="6"/>
        <v>203400</v>
      </c>
      <c r="Q3">
        <f t="shared" si="7"/>
        <v>6480</v>
      </c>
      <c r="R3">
        <f t="shared" si="8"/>
        <v>452.38934211693021</v>
      </c>
      <c r="S3">
        <f t="shared" si="9"/>
        <v>6932.3893421169305</v>
      </c>
      <c r="T3">
        <f t="shared" ref="T3:T34" si="16">1/12*I3*(I3*J3)^3*2+(1/12*(I3*J3)*I3^3+(I3*J3)*I3*(H3/2-I3/2)^2)*2+PI()/8*((N3*I3)^4-((N3-1)*I3)^4)*2+1/2*PI()*((N3*I3)^2-((N3-1)*I3)^2)*(-1*((4*((N3*I3)^3-((N3-1)*I3)^3))/(3*PI()*((N3*I3)^2-((N3-1)*I3)^2)))^2+1*((4*((N3*I3)^3-((N3-1)*I3)^3))/(3*PI()*((N3*I3)^2-((N3-1)*I3)^2))+I3*J3/2)^2)*2</f>
        <v>98937843.544753</v>
      </c>
      <c r="U3">
        <f t="shared" si="10"/>
        <v>119.46474135158041</v>
      </c>
      <c r="V3">
        <f t="shared" si="11"/>
        <v>25.112011845998214</v>
      </c>
      <c r="W3">
        <f t="shared" ref="W3:W34" si="17">V3/PI()*SQRT(O3/P3)</f>
        <v>0.26407825879208835</v>
      </c>
      <c r="X3">
        <f t="shared" si="12"/>
        <v>1538.9904339499585</v>
      </c>
      <c r="Y3">
        <v>1257.0999999999999</v>
      </c>
      <c r="Z3">
        <f t="shared" si="13"/>
        <v>0.8168341870543917</v>
      </c>
      <c r="AA3" t="str">
        <f t="shared" ref="AA3:AA34" si="18">"MC-M"&amp;A3</f>
        <v>MC-M2</v>
      </c>
      <c r="AB3">
        <f t="shared" ref="AB3:AB34" si="19">IF(C3=235,360,IF(C3=355,490,560))</f>
        <v>360</v>
      </c>
      <c r="AC3">
        <f>D3/(0.2+185*D3/193000)</f>
        <v>468.37972876516773</v>
      </c>
      <c r="AD3">
        <f t="shared" ref="AD3:AD34" si="20">C3*(2.769*(AB3/C3)-0.581*(AB3/C3)^2-1.182)/((N3-1)^(0.314*(AB3/C3)-0.32))</f>
        <v>373.45856872555174</v>
      </c>
      <c r="AE3">
        <f t="shared" ref="AE3:AE34" si="21">1.673*D3/(N3-1)^0.126</f>
        <v>270.24481095632694</v>
      </c>
      <c r="AF3">
        <f t="shared" ref="AF3:AF34" si="22">AD3*(1-((2*N3*I3-E3*I3)/(2*N3*I3-I3)*E3))+AE3*((2*N3*I3-E3*I3)/(2*N3*I3-I3)*E3)</f>
        <v>348.68726686093777</v>
      </c>
      <c r="AG3">
        <f t="shared" ref="AG3:AG12" si="23">(AF3*R3+O3*Q3)/1000</f>
        <v>1596.30240325977</v>
      </c>
      <c r="AH3">
        <f t="shared" si="14"/>
        <v>0.78750742806181762</v>
      </c>
    </row>
    <row r="4" spans="1:34" x14ac:dyDescent="0.25">
      <c r="A4">
        <v>3</v>
      </c>
      <c r="B4" t="str">
        <f t="shared" si="0"/>
        <v>Q235+S170</v>
      </c>
      <c r="C4">
        <v>235</v>
      </c>
      <c r="D4">
        <v>170</v>
      </c>
      <c r="E4">
        <v>0.2</v>
      </c>
      <c r="F4">
        <v>4000</v>
      </c>
      <c r="G4">
        <v>270</v>
      </c>
      <c r="H4">
        <f t="shared" si="1"/>
        <v>300</v>
      </c>
      <c r="I4">
        <v>6</v>
      </c>
      <c r="J4">
        <f t="shared" si="15"/>
        <v>45</v>
      </c>
      <c r="K4">
        <f t="shared" si="2"/>
        <v>0.78188877356732545</v>
      </c>
      <c r="L4">
        <f t="shared" si="3"/>
        <v>1.35</v>
      </c>
      <c r="M4">
        <f t="shared" si="4"/>
        <v>4</v>
      </c>
      <c r="N4">
        <v>2.5</v>
      </c>
      <c r="O4">
        <f t="shared" si="5"/>
        <v>222</v>
      </c>
      <c r="P4">
        <f t="shared" si="6"/>
        <v>203400</v>
      </c>
      <c r="Q4">
        <f t="shared" si="7"/>
        <v>6480</v>
      </c>
      <c r="R4">
        <f t="shared" si="8"/>
        <v>452.38934211693021</v>
      </c>
      <c r="S4">
        <f t="shared" si="9"/>
        <v>6932.3893421169305</v>
      </c>
      <c r="T4">
        <f t="shared" si="16"/>
        <v>98937843.544753</v>
      </c>
      <c r="U4">
        <f t="shared" si="10"/>
        <v>119.46474135158041</v>
      </c>
      <c r="V4">
        <f t="shared" si="11"/>
        <v>33.482682461330953</v>
      </c>
      <c r="W4">
        <f t="shared" si="17"/>
        <v>0.35210434505611782</v>
      </c>
      <c r="X4">
        <f t="shared" si="12"/>
        <v>1538.9904339499585</v>
      </c>
      <c r="Y4">
        <v>1242.0999999999999</v>
      </c>
      <c r="Z4">
        <f t="shared" si="13"/>
        <v>0.80708753777763098</v>
      </c>
      <c r="AA4" t="str">
        <f t="shared" si="18"/>
        <v>MC-M3</v>
      </c>
      <c r="AB4">
        <f t="shared" si="19"/>
        <v>360</v>
      </c>
      <c r="AC4">
        <f>D4/(0.2+185*D4/193000)</f>
        <v>468.37972876516773</v>
      </c>
      <c r="AD4">
        <f t="shared" si="20"/>
        <v>373.45856872555174</v>
      </c>
      <c r="AE4">
        <f t="shared" si="21"/>
        <v>270.24481095632694</v>
      </c>
      <c r="AF4">
        <f t="shared" si="22"/>
        <v>348.68726686093777</v>
      </c>
      <c r="AG4">
        <f t="shared" si="23"/>
        <v>1596.30240325977</v>
      </c>
      <c r="AH4">
        <f t="shared" si="14"/>
        <v>0.778110712270769</v>
      </c>
    </row>
    <row r="5" spans="1:34" x14ac:dyDescent="0.25">
      <c r="A5">
        <v>4</v>
      </c>
      <c r="B5" t="str">
        <f t="shared" si="0"/>
        <v>Q235+S170</v>
      </c>
      <c r="C5">
        <v>235</v>
      </c>
      <c r="D5">
        <v>170</v>
      </c>
      <c r="E5">
        <v>0.2</v>
      </c>
      <c r="F5">
        <v>5000</v>
      </c>
      <c r="G5">
        <v>270</v>
      </c>
      <c r="H5">
        <f t="shared" si="1"/>
        <v>300</v>
      </c>
      <c r="I5">
        <v>6</v>
      </c>
      <c r="J5">
        <f t="shared" si="15"/>
        <v>45</v>
      </c>
      <c r="K5">
        <f t="shared" si="2"/>
        <v>0.78188877356732545</v>
      </c>
      <c r="L5">
        <f t="shared" si="3"/>
        <v>1.35</v>
      </c>
      <c r="M5">
        <f t="shared" si="4"/>
        <v>5</v>
      </c>
      <c r="N5">
        <v>2.5</v>
      </c>
      <c r="O5">
        <f t="shared" si="5"/>
        <v>222</v>
      </c>
      <c r="P5">
        <f t="shared" si="6"/>
        <v>203400</v>
      </c>
      <c r="Q5">
        <f t="shared" si="7"/>
        <v>6480</v>
      </c>
      <c r="R5">
        <f t="shared" si="8"/>
        <v>452.38934211693021</v>
      </c>
      <c r="S5">
        <f t="shared" si="9"/>
        <v>6932.3893421169305</v>
      </c>
      <c r="T5">
        <f t="shared" si="16"/>
        <v>98937843.544753</v>
      </c>
      <c r="U5">
        <f t="shared" si="10"/>
        <v>119.46474135158041</v>
      </c>
      <c r="V5">
        <f t="shared" si="11"/>
        <v>41.853353076663687</v>
      </c>
      <c r="W5">
        <f t="shared" si="17"/>
        <v>0.44013043132014723</v>
      </c>
      <c r="X5">
        <f t="shared" si="12"/>
        <v>1538.9904339499585</v>
      </c>
      <c r="Y5">
        <v>1225.8</v>
      </c>
      <c r="Z5">
        <f t="shared" si="13"/>
        <v>0.7964961788968844</v>
      </c>
      <c r="AA5" t="str">
        <f t="shared" si="18"/>
        <v>MC-M4</v>
      </c>
      <c r="AB5">
        <f t="shared" si="19"/>
        <v>360</v>
      </c>
      <c r="AC5">
        <f t="shared" ref="AC5:AC12" si="24">D5/(0.2+185*D5/193000)</f>
        <v>468.37972876516773</v>
      </c>
      <c r="AD5">
        <f t="shared" si="20"/>
        <v>373.45856872555174</v>
      </c>
      <c r="AE5">
        <f t="shared" si="21"/>
        <v>270.24481095632694</v>
      </c>
      <c r="AF5">
        <f t="shared" si="22"/>
        <v>348.68726686093777</v>
      </c>
      <c r="AG5">
        <f t="shared" si="23"/>
        <v>1596.30240325977</v>
      </c>
      <c r="AH5">
        <f t="shared" si="14"/>
        <v>0.76789961444449617</v>
      </c>
    </row>
    <row r="6" spans="1:34" x14ac:dyDescent="0.25">
      <c r="A6">
        <v>5</v>
      </c>
      <c r="B6" t="str">
        <f t="shared" si="0"/>
        <v>Q235+S170</v>
      </c>
      <c r="C6">
        <v>235</v>
      </c>
      <c r="D6">
        <v>170</v>
      </c>
      <c r="E6">
        <v>0.2</v>
      </c>
      <c r="F6">
        <v>6000</v>
      </c>
      <c r="G6">
        <v>270</v>
      </c>
      <c r="H6">
        <f t="shared" si="1"/>
        <v>300</v>
      </c>
      <c r="I6">
        <v>6</v>
      </c>
      <c r="J6">
        <f t="shared" si="15"/>
        <v>45</v>
      </c>
      <c r="K6">
        <f t="shared" si="2"/>
        <v>0.78188877356732545</v>
      </c>
      <c r="L6">
        <f t="shared" si="3"/>
        <v>1.35</v>
      </c>
      <c r="M6">
        <f t="shared" si="4"/>
        <v>6</v>
      </c>
      <c r="N6">
        <v>2.5</v>
      </c>
      <c r="O6">
        <f t="shared" si="5"/>
        <v>222</v>
      </c>
      <c r="P6">
        <f t="shared" si="6"/>
        <v>203400</v>
      </c>
      <c r="Q6">
        <f t="shared" si="7"/>
        <v>6480</v>
      </c>
      <c r="R6">
        <f t="shared" si="8"/>
        <v>452.38934211693021</v>
      </c>
      <c r="S6">
        <f t="shared" si="9"/>
        <v>6932.3893421169305</v>
      </c>
      <c r="T6">
        <f t="shared" si="16"/>
        <v>98937843.544753</v>
      </c>
      <c r="U6">
        <f t="shared" si="10"/>
        <v>119.46474135158041</v>
      </c>
      <c r="V6">
        <f t="shared" si="11"/>
        <v>50.224023691996429</v>
      </c>
      <c r="W6">
        <f t="shared" si="17"/>
        <v>0.5281565175841767</v>
      </c>
      <c r="X6">
        <f t="shared" si="12"/>
        <v>1538.9904339499585</v>
      </c>
      <c r="Y6">
        <v>1202.3</v>
      </c>
      <c r="Z6">
        <f t="shared" si="13"/>
        <v>0.7812264283632927</v>
      </c>
      <c r="AA6" t="str">
        <f t="shared" si="18"/>
        <v>MC-M5</v>
      </c>
      <c r="AB6">
        <f t="shared" si="19"/>
        <v>360</v>
      </c>
      <c r="AC6">
        <f t="shared" si="24"/>
        <v>468.37972876516773</v>
      </c>
      <c r="AD6">
        <f t="shared" si="20"/>
        <v>373.45856872555174</v>
      </c>
      <c r="AE6">
        <f t="shared" si="21"/>
        <v>270.24481095632694</v>
      </c>
      <c r="AF6">
        <f t="shared" si="22"/>
        <v>348.68726686093777</v>
      </c>
      <c r="AG6">
        <f t="shared" si="23"/>
        <v>1596.30240325977</v>
      </c>
      <c r="AH6">
        <f t="shared" si="14"/>
        <v>0.7531780930385199</v>
      </c>
    </row>
    <row r="7" spans="1:34" x14ac:dyDescent="0.25">
      <c r="A7">
        <v>6</v>
      </c>
      <c r="B7" t="str">
        <f t="shared" si="0"/>
        <v>Q235+S170</v>
      </c>
      <c r="C7">
        <v>235</v>
      </c>
      <c r="D7">
        <v>170</v>
      </c>
      <c r="E7">
        <v>0.2</v>
      </c>
      <c r="F7">
        <v>8000</v>
      </c>
      <c r="G7">
        <v>270</v>
      </c>
      <c r="H7">
        <f t="shared" si="1"/>
        <v>300</v>
      </c>
      <c r="I7">
        <v>6</v>
      </c>
      <c r="J7">
        <f t="shared" si="15"/>
        <v>45</v>
      </c>
      <c r="K7">
        <f t="shared" si="2"/>
        <v>0.78188877356732545</v>
      </c>
      <c r="L7">
        <f t="shared" si="3"/>
        <v>1.35</v>
      </c>
      <c r="M7">
        <f t="shared" si="4"/>
        <v>8</v>
      </c>
      <c r="N7">
        <v>2.5</v>
      </c>
      <c r="O7">
        <f t="shared" si="5"/>
        <v>222</v>
      </c>
      <c r="P7">
        <f t="shared" si="6"/>
        <v>203400</v>
      </c>
      <c r="Q7">
        <f t="shared" si="7"/>
        <v>6480</v>
      </c>
      <c r="R7">
        <f t="shared" si="8"/>
        <v>452.38934211693021</v>
      </c>
      <c r="S7">
        <f t="shared" si="9"/>
        <v>6932.3893421169305</v>
      </c>
      <c r="T7">
        <f t="shared" si="16"/>
        <v>98937843.544753</v>
      </c>
      <c r="U7">
        <f t="shared" si="10"/>
        <v>119.46474135158041</v>
      </c>
      <c r="V7">
        <f t="shared" si="11"/>
        <v>66.965364922661905</v>
      </c>
      <c r="W7">
        <f t="shared" si="17"/>
        <v>0.70420869011223564</v>
      </c>
      <c r="X7">
        <f t="shared" si="12"/>
        <v>1538.9904339499585</v>
      </c>
      <c r="Y7">
        <v>1140.8</v>
      </c>
      <c r="Z7">
        <f t="shared" si="13"/>
        <v>0.74126516632857375</v>
      </c>
      <c r="AA7" t="str">
        <f t="shared" si="18"/>
        <v>MC-M6</v>
      </c>
      <c r="AB7">
        <f t="shared" si="19"/>
        <v>360</v>
      </c>
      <c r="AC7">
        <f t="shared" si="24"/>
        <v>468.37972876516773</v>
      </c>
      <c r="AD7">
        <f t="shared" si="20"/>
        <v>373.45856872555174</v>
      </c>
      <c r="AE7">
        <f t="shared" si="21"/>
        <v>270.24481095632694</v>
      </c>
      <c r="AF7">
        <f t="shared" si="22"/>
        <v>348.68726686093777</v>
      </c>
      <c r="AG7">
        <f t="shared" si="23"/>
        <v>1596.30240325977</v>
      </c>
      <c r="AH7">
        <f t="shared" si="14"/>
        <v>0.71465155829522042</v>
      </c>
    </row>
    <row r="8" spans="1:34" x14ac:dyDescent="0.25">
      <c r="A8">
        <v>7</v>
      </c>
      <c r="B8" t="str">
        <f t="shared" si="0"/>
        <v>Q235+S170</v>
      </c>
      <c r="C8">
        <v>235</v>
      </c>
      <c r="D8">
        <v>170</v>
      </c>
      <c r="E8">
        <v>0.2</v>
      </c>
      <c r="F8">
        <v>10000</v>
      </c>
      <c r="G8">
        <v>270</v>
      </c>
      <c r="H8">
        <f t="shared" si="1"/>
        <v>300</v>
      </c>
      <c r="I8">
        <v>6</v>
      </c>
      <c r="J8">
        <f t="shared" si="15"/>
        <v>45</v>
      </c>
      <c r="K8">
        <f t="shared" si="2"/>
        <v>0.78188877356732545</v>
      </c>
      <c r="L8">
        <f t="shared" si="3"/>
        <v>1.35</v>
      </c>
      <c r="M8">
        <f t="shared" si="4"/>
        <v>10</v>
      </c>
      <c r="N8">
        <v>2.5</v>
      </c>
      <c r="O8">
        <f t="shared" si="5"/>
        <v>222</v>
      </c>
      <c r="P8">
        <f t="shared" si="6"/>
        <v>203400</v>
      </c>
      <c r="Q8">
        <f t="shared" si="7"/>
        <v>6480</v>
      </c>
      <c r="R8">
        <f t="shared" si="8"/>
        <v>452.38934211693021</v>
      </c>
      <c r="S8">
        <f t="shared" si="9"/>
        <v>6932.3893421169305</v>
      </c>
      <c r="T8">
        <f t="shared" si="16"/>
        <v>98937843.544753</v>
      </c>
      <c r="U8">
        <f t="shared" si="10"/>
        <v>119.46474135158041</v>
      </c>
      <c r="V8">
        <f t="shared" si="11"/>
        <v>83.706706153327374</v>
      </c>
      <c r="W8">
        <f t="shared" si="17"/>
        <v>0.88026086264029446</v>
      </c>
      <c r="X8">
        <f t="shared" si="12"/>
        <v>1538.9904339499585</v>
      </c>
      <c r="Y8">
        <v>1034.4000000000001</v>
      </c>
      <c r="Z8">
        <f t="shared" si="13"/>
        <v>0.67212893412541797</v>
      </c>
      <c r="AA8" t="str">
        <f t="shared" si="18"/>
        <v>MC-M7</v>
      </c>
      <c r="AB8">
        <f t="shared" si="19"/>
        <v>360</v>
      </c>
      <c r="AC8">
        <f t="shared" si="24"/>
        <v>468.37972876516773</v>
      </c>
      <c r="AD8">
        <f t="shared" si="20"/>
        <v>373.45856872555174</v>
      </c>
      <c r="AE8">
        <f t="shared" si="21"/>
        <v>270.24481095632694</v>
      </c>
      <c r="AF8">
        <f t="shared" si="22"/>
        <v>348.68726686093777</v>
      </c>
      <c r="AG8">
        <f t="shared" si="23"/>
        <v>1596.30240325977</v>
      </c>
      <c r="AH8">
        <f t="shared" si="14"/>
        <v>0.64799752095071539</v>
      </c>
    </row>
    <row r="9" spans="1:34" x14ac:dyDescent="0.25">
      <c r="A9">
        <v>8</v>
      </c>
      <c r="B9" t="str">
        <f t="shared" si="0"/>
        <v>Q235+S170</v>
      </c>
      <c r="C9">
        <v>235</v>
      </c>
      <c r="D9">
        <v>170</v>
      </c>
      <c r="E9">
        <v>0.2</v>
      </c>
      <c r="F9">
        <v>12000</v>
      </c>
      <c r="G9">
        <v>270</v>
      </c>
      <c r="H9">
        <f t="shared" si="1"/>
        <v>300</v>
      </c>
      <c r="I9">
        <v>6</v>
      </c>
      <c r="J9">
        <f t="shared" si="15"/>
        <v>45</v>
      </c>
      <c r="K9">
        <f t="shared" si="2"/>
        <v>0.78188877356732545</v>
      </c>
      <c r="L9">
        <f t="shared" si="3"/>
        <v>1.35</v>
      </c>
      <c r="M9">
        <f t="shared" si="4"/>
        <v>12</v>
      </c>
      <c r="N9">
        <v>2.5</v>
      </c>
      <c r="O9">
        <f t="shared" si="5"/>
        <v>222</v>
      </c>
      <c r="P9">
        <f t="shared" si="6"/>
        <v>203400</v>
      </c>
      <c r="Q9">
        <f t="shared" si="7"/>
        <v>6480</v>
      </c>
      <c r="R9">
        <f t="shared" si="8"/>
        <v>452.38934211693021</v>
      </c>
      <c r="S9">
        <f t="shared" si="9"/>
        <v>6932.3893421169305</v>
      </c>
      <c r="T9">
        <f t="shared" si="16"/>
        <v>98937843.544753</v>
      </c>
      <c r="U9">
        <f t="shared" si="10"/>
        <v>119.46474135158041</v>
      </c>
      <c r="V9">
        <f t="shared" si="11"/>
        <v>100.44804738399286</v>
      </c>
      <c r="W9">
        <f t="shared" si="17"/>
        <v>1.0563130351683534</v>
      </c>
      <c r="X9">
        <f t="shared" si="12"/>
        <v>1538.9904339499585</v>
      </c>
      <c r="Y9">
        <v>907.8</v>
      </c>
      <c r="Z9">
        <f t="shared" si="13"/>
        <v>0.58986721422955757</v>
      </c>
      <c r="AA9" t="str">
        <f t="shared" si="18"/>
        <v>MC-M8</v>
      </c>
      <c r="AB9">
        <f t="shared" si="19"/>
        <v>360</v>
      </c>
      <c r="AC9">
        <f t="shared" si="24"/>
        <v>468.37972876516773</v>
      </c>
      <c r="AD9">
        <f t="shared" si="20"/>
        <v>373.45856872555174</v>
      </c>
      <c r="AE9">
        <f t="shared" si="21"/>
        <v>270.24481095632694</v>
      </c>
      <c r="AF9">
        <f t="shared" si="22"/>
        <v>348.68726686093777</v>
      </c>
      <c r="AG9">
        <f t="shared" si="23"/>
        <v>1596.30240325977</v>
      </c>
      <c r="AH9">
        <f t="shared" si="14"/>
        <v>0.56868923967426466</v>
      </c>
    </row>
    <row r="10" spans="1:34" x14ac:dyDescent="0.25">
      <c r="A10">
        <v>9</v>
      </c>
      <c r="B10" t="str">
        <f t="shared" si="0"/>
        <v>Q235+S170</v>
      </c>
      <c r="C10">
        <v>235</v>
      </c>
      <c r="D10">
        <v>170</v>
      </c>
      <c r="E10">
        <v>0.2</v>
      </c>
      <c r="F10">
        <v>14000</v>
      </c>
      <c r="G10">
        <v>270</v>
      </c>
      <c r="H10">
        <f t="shared" si="1"/>
        <v>300</v>
      </c>
      <c r="I10">
        <v>6</v>
      </c>
      <c r="J10">
        <f t="shared" si="15"/>
        <v>45</v>
      </c>
      <c r="K10">
        <f t="shared" si="2"/>
        <v>0.78188877356732545</v>
      </c>
      <c r="L10">
        <f t="shared" si="3"/>
        <v>1.35</v>
      </c>
      <c r="M10">
        <f t="shared" si="4"/>
        <v>14</v>
      </c>
      <c r="N10">
        <v>2.5</v>
      </c>
      <c r="O10">
        <f t="shared" si="5"/>
        <v>222</v>
      </c>
      <c r="P10">
        <f t="shared" si="6"/>
        <v>203400</v>
      </c>
      <c r="Q10">
        <f t="shared" si="7"/>
        <v>6480</v>
      </c>
      <c r="R10">
        <f t="shared" si="8"/>
        <v>452.38934211693021</v>
      </c>
      <c r="S10">
        <f t="shared" si="9"/>
        <v>6932.3893421169305</v>
      </c>
      <c r="T10">
        <f t="shared" si="16"/>
        <v>98937843.544753</v>
      </c>
      <c r="U10">
        <f t="shared" si="10"/>
        <v>119.46474135158041</v>
      </c>
      <c r="V10">
        <f t="shared" si="11"/>
        <v>117.18938861465833</v>
      </c>
      <c r="W10">
        <f t="shared" si="17"/>
        <v>1.2323652076964122</v>
      </c>
      <c r="X10">
        <f t="shared" si="12"/>
        <v>1538.9904339499585</v>
      </c>
      <c r="Y10">
        <v>784.3</v>
      </c>
      <c r="Z10">
        <f t="shared" si="13"/>
        <v>0.5096198018508945</v>
      </c>
      <c r="AA10" t="str">
        <f t="shared" si="18"/>
        <v>MC-M9</v>
      </c>
      <c r="AB10">
        <f t="shared" si="19"/>
        <v>360</v>
      </c>
      <c r="AC10">
        <f t="shared" si="24"/>
        <v>468.37972876516773</v>
      </c>
      <c r="AD10">
        <f t="shared" si="20"/>
        <v>373.45856872555174</v>
      </c>
      <c r="AE10">
        <f t="shared" si="21"/>
        <v>270.24481095632694</v>
      </c>
      <c r="AF10">
        <f t="shared" si="22"/>
        <v>348.68726686093777</v>
      </c>
      <c r="AG10">
        <f t="shared" si="23"/>
        <v>1596.30240325977</v>
      </c>
      <c r="AH10">
        <f t="shared" si="14"/>
        <v>0.49132294632796403</v>
      </c>
    </row>
    <row r="11" spans="1:34" x14ac:dyDescent="0.25">
      <c r="A11">
        <v>10</v>
      </c>
      <c r="B11" t="str">
        <f t="shared" si="0"/>
        <v>Q235+S170</v>
      </c>
      <c r="C11">
        <v>235</v>
      </c>
      <c r="D11">
        <v>170</v>
      </c>
      <c r="E11">
        <v>0.2</v>
      </c>
      <c r="F11">
        <v>16000</v>
      </c>
      <c r="G11">
        <v>270</v>
      </c>
      <c r="H11">
        <f t="shared" si="1"/>
        <v>300</v>
      </c>
      <c r="I11">
        <v>6</v>
      </c>
      <c r="J11">
        <f t="shared" si="15"/>
        <v>45</v>
      </c>
      <c r="K11">
        <f t="shared" si="2"/>
        <v>0.78188877356732545</v>
      </c>
      <c r="L11">
        <f t="shared" si="3"/>
        <v>1.35</v>
      </c>
      <c r="M11">
        <f t="shared" si="4"/>
        <v>16</v>
      </c>
      <c r="N11">
        <v>2.5</v>
      </c>
      <c r="O11">
        <f t="shared" si="5"/>
        <v>222</v>
      </c>
      <c r="P11">
        <f t="shared" si="6"/>
        <v>203400</v>
      </c>
      <c r="Q11">
        <f t="shared" si="7"/>
        <v>6480</v>
      </c>
      <c r="R11">
        <f t="shared" si="8"/>
        <v>452.38934211693021</v>
      </c>
      <c r="S11">
        <f t="shared" si="9"/>
        <v>6932.3893421169305</v>
      </c>
      <c r="T11">
        <f t="shared" si="16"/>
        <v>98937843.544753</v>
      </c>
      <c r="U11">
        <f t="shared" si="10"/>
        <v>119.46474135158041</v>
      </c>
      <c r="V11">
        <f t="shared" si="11"/>
        <v>133.93072984532381</v>
      </c>
      <c r="W11">
        <f t="shared" si="17"/>
        <v>1.4084173802244713</v>
      </c>
      <c r="X11">
        <f t="shared" si="12"/>
        <v>1538.9904339499585</v>
      </c>
      <c r="Y11">
        <v>640.1</v>
      </c>
      <c r="Z11">
        <f t="shared" si="13"/>
        <v>0.41592201347030167</v>
      </c>
      <c r="AA11" t="str">
        <f t="shared" si="18"/>
        <v>MC-M10</v>
      </c>
      <c r="AB11">
        <f t="shared" si="19"/>
        <v>360</v>
      </c>
      <c r="AC11">
        <f t="shared" si="24"/>
        <v>468.37972876516773</v>
      </c>
      <c r="AD11">
        <f t="shared" si="20"/>
        <v>373.45856872555174</v>
      </c>
      <c r="AE11">
        <f t="shared" si="21"/>
        <v>270.24481095632694</v>
      </c>
      <c r="AF11">
        <f t="shared" si="22"/>
        <v>348.68726686093777</v>
      </c>
      <c r="AG11">
        <f t="shared" si="23"/>
        <v>1596.30240325977</v>
      </c>
      <c r="AH11">
        <f t="shared" si="14"/>
        <v>0.40098918519001631</v>
      </c>
    </row>
    <row r="12" spans="1:34" x14ac:dyDescent="0.25">
      <c r="A12">
        <v>11</v>
      </c>
      <c r="B12" t="str">
        <f t="shared" si="0"/>
        <v>Q235+S170</v>
      </c>
      <c r="C12">
        <v>235</v>
      </c>
      <c r="D12">
        <v>170</v>
      </c>
      <c r="E12">
        <v>0.2</v>
      </c>
      <c r="F12">
        <v>18000</v>
      </c>
      <c r="G12">
        <v>270</v>
      </c>
      <c r="H12">
        <f t="shared" si="1"/>
        <v>300</v>
      </c>
      <c r="I12">
        <v>6</v>
      </c>
      <c r="J12">
        <f t="shared" si="15"/>
        <v>45</v>
      </c>
      <c r="K12">
        <f t="shared" si="2"/>
        <v>0.78188877356732545</v>
      </c>
      <c r="L12">
        <f t="shared" si="3"/>
        <v>1.35</v>
      </c>
      <c r="M12">
        <f t="shared" si="4"/>
        <v>18</v>
      </c>
      <c r="N12">
        <v>2.5</v>
      </c>
      <c r="O12">
        <f t="shared" si="5"/>
        <v>222</v>
      </c>
      <c r="P12">
        <f t="shared" si="6"/>
        <v>203400</v>
      </c>
      <c r="Q12">
        <f t="shared" si="7"/>
        <v>6480</v>
      </c>
      <c r="R12">
        <f t="shared" si="8"/>
        <v>452.38934211693021</v>
      </c>
      <c r="S12">
        <f t="shared" si="9"/>
        <v>6932.3893421169305</v>
      </c>
      <c r="T12">
        <f t="shared" si="16"/>
        <v>98937843.544753</v>
      </c>
      <c r="U12">
        <f t="shared" si="10"/>
        <v>119.46474135158041</v>
      </c>
      <c r="V12">
        <f t="shared" si="11"/>
        <v>150.67207107598929</v>
      </c>
      <c r="W12">
        <f t="shared" si="17"/>
        <v>1.5844695527525303</v>
      </c>
      <c r="X12">
        <f t="shared" si="12"/>
        <v>1538.9904339499585</v>
      </c>
      <c r="Y12">
        <v>527.1</v>
      </c>
      <c r="Z12">
        <f t="shared" si="13"/>
        <v>0.34249725558537103</v>
      </c>
      <c r="AA12" t="str">
        <f t="shared" si="18"/>
        <v>MC-M11</v>
      </c>
      <c r="AB12">
        <f t="shared" si="19"/>
        <v>360</v>
      </c>
      <c r="AC12">
        <f t="shared" si="24"/>
        <v>468.37972876516773</v>
      </c>
      <c r="AD12">
        <f t="shared" si="20"/>
        <v>373.45856872555174</v>
      </c>
      <c r="AE12">
        <f t="shared" si="21"/>
        <v>270.24481095632694</v>
      </c>
      <c r="AF12">
        <f t="shared" si="22"/>
        <v>348.68726686093777</v>
      </c>
      <c r="AG12">
        <f t="shared" si="23"/>
        <v>1596.30240325977</v>
      </c>
      <c r="AH12">
        <f t="shared" si="14"/>
        <v>0.3302005928974498</v>
      </c>
    </row>
    <row r="13" spans="1:34" x14ac:dyDescent="0.25">
      <c r="A13">
        <v>12</v>
      </c>
      <c r="B13" t="str">
        <f t="shared" si="0"/>
        <v>Q355+S205</v>
      </c>
      <c r="C13">
        <v>355</v>
      </c>
      <c r="D13">
        <v>205</v>
      </c>
      <c r="E13">
        <v>0.2</v>
      </c>
      <c r="F13">
        <v>2000</v>
      </c>
      <c r="G13">
        <v>270</v>
      </c>
      <c r="H13">
        <f t="shared" si="1"/>
        <v>300</v>
      </c>
      <c r="I13">
        <v>6</v>
      </c>
      <c r="J13">
        <f t="shared" si="15"/>
        <v>45</v>
      </c>
      <c r="K13">
        <f t="shared" si="2"/>
        <v>0.94604146249571819</v>
      </c>
      <c r="L13">
        <f t="shared" si="3"/>
        <v>1.35</v>
      </c>
      <c r="M13">
        <f t="shared" si="4"/>
        <v>2</v>
      </c>
      <c r="N13">
        <v>2.5</v>
      </c>
      <c r="O13">
        <f t="shared" si="5"/>
        <v>325</v>
      </c>
      <c r="P13">
        <f t="shared" si="6"/>
        <v>203400</v>
      </c>
      <c r="Q13">
        <f t="shared" si="7"/>
        <v>6480</v>
      </c>
      <c r="R13">
        <f t="shared" si="8"/>
        <v>452.38934211693021</v>
      </c>
      <c r="S13">
        <f t="shared" si="9"/>
        <v>6932.3893421169305</v>
      </c>
      <c r="T13">
        <f t="shared" si="16"/>
        <v>98937843.544753</v>
      </c>
      <c r="U13">
        <f t="shared" si="10"/>
        <v>119.46474135158041</v>
      </c>
      <c r="V13">
        <f t="shared" si="11"/>
        <v>16.741341230665476</v>
      </c>
      <c r="W13">
        <f t="shared" si="17"/>
        <v>0.21301323206637926</v>
      </c>
      <c r="X13">
        <f t="shared" si="12"/>
        <v>2253.0265361880024</v>
      </c>
      <c r="Y13">
        <v>1656.4</v>
      </c>
      <c r="Z13">
        <f t="shared" si="13"/>
        <v>0.73518885525535715</v>
      </c>
      <c r="AA13" t="str">
        <f t="shared" si="18"/>
        <v>MC-M12</v>
      </c>
      <c r="AB13">
        <f t="shared" si="19"/>
        <v>490</v>
      </c>
      <c r="AC13">
        <f>D13/(0.2+185*D13/193000)</f>
        <v>517.02058150931066</v>
      </c>
      <c r="AD13">
        <f t="shared" si="20"/>
        <v>519.7880493042129</v>
      </c>
      <c r="AE13">
        <f t="shared" si="21"/>
        <v>325.88344850615891</v>
      </c>
      <c r="AF13">
        <f t="shared" si="22"/>
        <v>473.25094511267991</v>
      </c>
      <c r="AG13">
        <f>(AF13*R13+O13*Q13)/1000</f>
        <v>2320.0936837157406</v>
      </c>
      <c r="AH13">
        <f t="shared" si="14"/>
        <v>0.71393668782684527</v>
      </c>
    </row>
    <row r="14" spans="1:34" x14ac:dyDescent="0.25">
      <c r="A14">
        <v>13</v>
      </c>
      <c r="B14" t="str">
        <f t="shared" si="0"/>
        <v>Q355+S205</v>
      </c>
      <c r="C14">
        <v>355</v>
      </c>
      <c r="D14">
        <v>205</v>
      </c>
      <c r="E14">
        <v>0.2</v>
      </c>
      <c r="F14">
        <v>3000</v>
      </c>
      <c r="G14">
        <v>270</v>
      </c>
      <c r="H14">
        <f t="shared" si="1"/>
        <v>300</v>
      </c>
      <c r="I14">
        <v>6</v>
      </c>
      <c r="J14">
        <f t="shared" si="15"/>
        <v>45</v>
      </c>
      <c r="K14">
        <f t="shared" si="2"/>
        <v>0.94604146249571819</v>
      </c>
      <c r="L14">
        <f t="shared" si="3"/>
        <v>1.35</v>
      </c>
      <c r="M14">
        <f t="shared" si="4"/>
        <v>3</v>
      </c>
      <c r="N14">
        <v>2.5</v>
      </c>
      <c r="O14">
        <f t="shared" si="5"/>
        <v>325</v>
      </c>
      <c r="P14">
        <f t="shared" si="6"/>
        <v>203400</v>
      </c>
      <c r="Q14">
        <f t="shared" si="7"/>
        <v>6480</v>
      </c>
      <c r="R14">
        <f t="shared" si="8"/>
        <v>452.38934211693021</v>
      </c>
      <c r="S14">
        <f t="shared" si="9"/>
        <v>6932.3893421169305</v>
      </c>
      <c r="T14">
        <f t="shared" si="16"/>
        <v>98937843.544753</v>
      </c>
      <c r="U14">
        <f t="shared" si="10"/>
        <v>119.46474135158041</v>
      </c>
      <c r="V14">
        <f t="shared" si="11"/>
        <v>25.112011845998214</v>
      </c>
      <c r="W14">
        <f t="shared" si="17"/>
        <v>0.3195198480995689</v>
      </c>
      <c r="X14">
        <f t="shared" si="12"/>
        <v>2253.0265361880024</v>
      </c>
      <c r="Y14">
        <v>1662.1</v>
      </c>
      <c r="Z14">
        <f t="shared" si="13"/>
        <v>0.73771878551070336</v>
      </c>
      <c r="AA14" t="str">
        <f t="shared" si="18"/>
        <v>MC-M13</v>
      </c>
      <c r="AB14">
        <f t="shared" si="19"/>
        <v>490</v>
      </c>
      <c r="AC14">
        <f>D14/(0.2+185*D14/193000)</f>
        <v>517.02058150931066</v>
      </c>
      <c r="AD14">
        <f t="shared" si="20"/>
        <v>519.7880493042129</v>
      </c>
      <c r="AE14">
        <f t="shared" si="21"/>
        <v>325.88344850615891</v>
      </c>
      <c r="AF14">
        <f t="shared" si="22"/>
        <v>473.25094511267991</v>
      </c>
      <c r="AG14">
        <f t="shared" ref="AG14:AG23" si="25">(AF14*R14+O14*Q14)/1000</f>
        <v>2320.0936837157406</v>
      </c>
      <c r="AH14">
        <f t="shared" si="14"/>
        <v>0.71639348517085211</v>
      </c>
    </row>
    <row r="15" spans="1:34" x14ac:dyDescent="0.25">
      <c r="A15">
        <v>14</v>
      </c>
      <c r="B15" t="str">
        <f t="shared" si="0"/>
        <v>Q355+S205</v>
      </c>
      <c r="C15">
        <v>355</v>
      </c>
      <c r="D15">
        <v>205</v>
      </c>
      <c r="E15">
        <v>0.2</v>
      </c>
      <c r="F15">
        <v>4000</v>
      </c>
      <c r="G15">
        <v>270</v>
      </c>
      <c r="H15">
        <f t="shared" si="1"/>
        <v>300</v>
      </c>
      <c r="I15">
        <v>6</v>
      </c>
      <c r="J15">
        <f t="shared" si="15"/>
        <v>45</v>
      </c>
      <c r="K15">
        <f t="shared" si="2"/>
        <v>0.94604146249571819</v>
      </c>
      <c r="L15">
        <f t="shared" si="3"/>
        <v>1.35</v>
      </c>
      <c r="M15">
        <f t="shared" si="4"/>
        <v>4</v>
      </c>
      <c r="N15">
        <v>2.5</v>
      </c>
      <c r="O15">
        <f t="shared" si="5"/>
        <v>325</v>
      </c>
      <c r="P15">
        <f t="shared" si="6"/>
        <v>203400</v>
      </c>
      <c r="Q15">
        <f t="shared" si="7"/>
        <v>6480</v>
      </c>
      <c r="R15">
        <f t="shared" si="8"/>
        <v>452.38934211693021</v>
      </c>
      <c r="S15">
        <f t="shared" si="9"/>
        <v>6932.3893421169305</v>
      </c>
      <c r="T15">
        <f t="shared" si="16"/>
        <v>98937843.544753</v>
      </c>
      <c r="U15">
        <f t="shared" si="10"/>
        <v>119.46474135158041</v>
      </c>
      <c r="V15">
        <f t="shared" si="11"/>
        <v>33.482682461330953</v>
      </c>
      <c r="W15">
        <f t="shared" si="17"/>
        <v>0.42602646413275852</v>
      </c>
      <c r="X15">
        <f t="shared" si="12"/>
        <v>2253.0265361880024</v>
      </c>
      <c r="Y15">
        <v>1644.2</v>
      </c>
      <c r="Z15">
        <f t="shared" si="13"/>
        <v>0.72977391681408976</v>
      </c>
      <c r="AA15" t="str">
        <f t="shared" si="18"/>
        <v>MC-M14</v>
      </c>
      <c r="AB15">
        <f t="shared" si="19"/>
        <v>490</v>
      </c>
      <c r="AC15">
        <f>D15/(0.2+185*D15/193000)</f>
        <v>517.02058150931066</v>
      </c>
      <c r="AD15">
        <f t="shared" si="20"/>
        <v>519.7880493042129</v>
      </c>
      <c r="AE15">
        <f t="shared" si="21"/>
        <v>325.88344850615891</v>
      </c>
      <c r="AF15">
        <f t="shared" si="22"/>
        <v>473.25094511267991</v>
      </c>
      <c r="AG15">
        <f t="shared" si="25"/>
        <v>2320.0936837157406</v>
      </c>
      <c r="AH15">
        <f t="shared" si="14"/>
        <v>0.70867827947651463</v>
      </c>
    </row>
    <row r="16" spans="1:34" x14ac:dyDescent="0.25">
      <c r="A16">
        <v>15</v>
      </c>
      <c r="B16" t="str">
        <f t="shared" si="0"/>
        <v>Q355+S205</v>
      </c>
      <c r="C16">
        <v>355</v>
      </c>
      <c r="D16">
        <v>205</v>
      </c>
      <c r="E16">
        <v>0.2</v>
      </c>
      <c r="F16">
        <v>5000</v>
      </c>
      <c r="G16">
        <v>270</v>
      </c>
      <c r="H16">
        <f t="shared" si="1"/>
        <v>300</v>
      </c>
      <c r="I16">
        <v>6</v>
      </c>
      <c r="J16">
        <f t="shared" si="15"/>
        <v>45</v>
      </c>
      <c r="K16">
        <f t="shared" si="2"/>
        <v>0.94604146249571819</v>
      </c>
      <c r="L16">
        <f t="shared" si="3"/>
        <v>1.35</v>
      </c>
      <c r="M16">
        <f t="shared" si="4"/>
        <v>5</v>
      </c>
      <c r="N16">
        <v>2.5</v>
      </c>
      <c r="O16">
        <f t="shared" si="5"/>
        <v>325</v>
      </c>
      <c r="P16">
        <f t="shared" si="6"/>
        <v>203400</v>
      </c>
      <c r="Q16">
        <f t="shared" si="7"/>
        <v>6480</v>
      </c>
      <c r="R16">
        <f t="shared" si="8"/>
        <v>452.38934211693021</v>
      </c>
      <c r="S16">
        <f t="shared" si="9"/>
        <v>6932.3893421169305</v>
      </c>
      <c r="T16">
        <f t="shared" si="16"/>
        <v>98937843.544753</v>
      </c>
      <c r="U16">
        <f t="shared" si="10"/>
        <v>119.46474135158041</v>
      </c>
      <c r="V16">
        <f t="shared" si="11"/>
        <v>41.853353076663687</v>
      </c>
      <c r="W16">
        <f t="shared" si="17"/>
        <v>0.53253308016594814</v>
      </c>
      <c r="X16">
        <f t="shared" si="12"/>
        <v>2253.0265361880024</v>
      </c>
      <c r="Y16">
        <v>1625.4</v>
      </c>
      <c r="Z16">
        <f t="shared" si="13"/>
        <v>0.72142958544557934</v>
      </c>
      <c r="AA16" t="str">
        <f t="shared" si="18"/>
        <v>MC-M15</v>
      </c>
      <c r="AB16">
        <f t="shared" si="19"/>
        <v>490</v>
      </c>
      <c r="AC16">
        <f t="shared" ref="AC16:AC23" si="26">D16/(0.2+185*D16/193000)</f>
        <v>517.02058150931066</v>
      </c>
      <c r="AD16">
        <f t="shared" si="20"/>
        <v>519.7880493042129</v>
      </c>
      <c r="AE16">
        <f t="shared" si="21"/>
        <v>325.88344850615891</v>
      </c>
      <c r="AF16">
        <f t="shared" si="22"/>
        <v>473.25094511267991</v>
      </c>
      <c r="AG16">
        <f t="shared" si="25"/>
        <v>2320.0936837157406</v>
      </c>
      <c r="AH16">
        <f t="shared" si="14"/>
        <v>0.70057515841207096</v>
      </c>
    </row>
    <row r="17" spans="1:34" x14ac:dyDescent="0.25">
      <c r="A17">
        <v>16</v>
      </c>
      <c r="B17" t="str">
        <f t="shared" si="0"/>
        <v>Q355+S205</v>
      </c>
      <c r="C17">
        <v>355</v>
      </c>
      <c r="D17">
        <v>205</v>
      </c>
      <c r="E17">
        <v>0.2</v>
      </c>
      <c r="F17">
        <v>6000</v>
      </c>
      <c r="G17">
        <v>270</v>
      </c>
      <c r="H17">
        <f t="shared" si="1"/>
        <v>300</v>
      </c>
      <c r="I17">
        <v>6</v>
      </c>
      <c r="J17">
        <f t="shared" si="15"/>
        <v>45</v>
      </c>
      <c r="K17">
        <f t="shared" si="2"/>
        <v>0.94604146249571819</v>
      </c>
      <c r="L17">
        <f t="shared" si="3"/>
        <v>1.35</v>
      </c>
      <c r="M17">
        <f t="shared" si="4"/>
        <v>6</v>
      </c>
      <c r="N17">
        <v>2.5</v>
      </c>
      <c r="O17">
        <f t="shared" si="5"/>
        <v>325</v>
      </c>
      <c r="P17">
        <f t="shared" si="6"/>
        <v>203400</v>
      </c>
      <c r="Q17">
        <f t="shared" si="7"/>
        <v>6480</v>
      </c>
      <c r="R17">
        <f t="shared" si="8"/>
        <v>452.38934211693021</v>
      </c>
      <c r="S17">
        <f t="shared" si="9"/>
        <v>6932.3893421169305</v>
      </c>
      <c r="T17">
        <f t="shared" si="16"/>
        <v>98937843.544753</v>
      </c>
      <c r="U17">
        <f t="shared" si="10"/>
        <v>119.46474135158041</v>
      </c>
      <c r="V17">
        <f t="shared" si="11"/>
        <v>50.224023691996429</v>
      </c>
      <c r="W17">
        <f t="shared" si="17"/>
        <v>0.63903969619913781</v>
      </c>
      <c r="X17">
        <f t="shared" si="12"/>
        <v>2253.0265361880024</v>
      </c>
      <c r="Y17">
        <v>1593.8</v>
      </c>
      <c r="Z17">
        <f t="shared" si="13"/>
        <v>0.70740400718787022</v>
      </c>
      <c r="AA17" t="str">
        <f t="shared" si="18"/>
        <v>MC-M16</v>
      </c>
      <c r="AB17">
        <f t="shared" si="19"/>
        <v>490</v>
      </c>
      <c r="AC17">
        <f t="shared" si="26"/>
        <v>517.02058150931066</v>
      </c>
      <c r="AD17">
        <f t="shared" si="20"/>
        <v>519.7880493042129</v>
      </c>
      <c r="AE17">
        <f t="shared" si="21"/>
        <v>325.88344850615891</v>
      </c>
      <c r="AF17">
        <f t="shared" si="22"/>
        <v>473.25094511267991</v>
      </c>
      <c r="AG17">
        <f t="shared" si="25"/>
        <v>2320.0936837157406</v>
      </c>
      <c r="AH17">
        <f t="shared" si="14"/>
        <v>0.68695501875055898</v>
      </c>
    </row>
    <row r="18" spans="1:34" x14ac:dyDescent="0.25">
      <c r="A18">
        <v>17</v>
      </c>
      <c r="B18" t="str">
        <f t="shared" si="0"/>
        <v>Q355+S205</v>
      </c>
      <c r="C18">
        <v>355</v>
      </c>
      <c r="D18">
        <v>205</v>
      </c>
      <c r="E18">
        <v>0.2</v>
      </c>
      <c r="F18">
        <v>8000</v>
      </c>
      <c r="G18">
        <v>270</v>
      </c>
      <c r="H18">
        <f t="shared" si="1"/>
        <v>300</v>
      </c>
      <c r="I18">
        <v>6</v>
      </c>
      <c r="J18">
        <f t="shared" si="15"/>
        <v>45</v>
      </c>
      <c r="K18">
        <f t="shared" si="2"/>
        <v>0.94604146249571819</v>
      </c>
      <c r="L18">
        <f t="shared" si="3"/>
        <v>1.35</v>
      </c>
      <c r="M18">
        <f t="shared" si="4"/>
        <v>8</v>
      </c>
      <c r="N18">
        <v>2.5</v>
      </c>
      <c r="O18">
        <f t="shared" si="5"/>
        <v>325</v>
      </c>
      <c r="P18">
        <f t="shared" si="6"/>
        <v>203400</v>
      </c>
      <c r="Q18">
        <f t="shared" si="7"/>
        <v>6480</v>
      </c>
      <c r="R18">
        <f t="shared" si="8"/>
        <v>452.38934211693021</v>
      </c>
      <c r="S18">
        <f t="shared" si="9"/>
        <v>6932.3893421169305</v>
      </c>
      <c r="T18">
        <f t="shared" si="16"/>
        <v>98937843.544753</v>
      </c>
      <c r="U18">
        <f t="shared" si="10"/>
        <v>119.46474135158041</v>
      </c>
      <c r="V18">
        <f t="shared" si="11"/>
        <v>66.965364922661905</v>
      </c>
      <c r="W18">
        <f t="shared" si="17"/>
        <v>0.85205292826551704</v>
      </c>
      <c r="X18">
        <f t="shared" si="12"/>
        <v>2253.0265361880024</v>
      </c>
      <c r="Y18">
        <v>1478.1</v>
      </c>
      <c r="Z18">
        <f t="shared" si="13"/>
        <v>0.65605086147847336</v>
      </c>
      <c r="AA18" t="str">
        <f t="shared" si="18"/>
        <v>MC-M17</v>
      </c>
      <c r="AB18">
        <f t="shared" si="19"/>
        <v>490</v>
      </c>
      <c r="AC18">
        <f t="shared" si="26"/>
        <v>517.02058150931066</v>
      </c>
      <c r="AD18">
        <f t="shared" si="20"/>
        <v>519.7880493042129</v>
      </c>
      <c r="AE18">
        <f t="shared" si="21"/>
        <v>325.88344850615891</v>
      </c>
      <c r="AF18">
        <f t="shared" si="22"/>
        <v>473.25094511267991</v>
      </c>
      <c r="AG18">
        <f t="shared" si="25"/>
        <v>2320.0936837157406</v>
      </c>
      <c r="AH18">
        <f t="shared" si="14"/>
        <v>0.63708634283799792</v>
      </c>
    </row>
    <row r="19" spans="1:34" x14ac:dyDescent="0.25">
      <c r="A19">
        <v>18</v>
      </c>
      <c r="B19" t="str">
        <f t="shared" si="0"/>
        <v>Q355+S205</v>
      </c>
      <c r="C19">
        <v>355</v>
      </c>
      <c r="D19">
        <v>205</v>
      </c>
      <c r="E19">
        <v>0.2</v>
      </c>
      <c r="F19">
        <v>10000</v>
      </c>
      <c r="G19">
        <v>270</v>
      </c>
      <c r="H19">
        <f t="shared" si="1"/>
        <v>300</v>
      </c>
      <c r="I19">
        <v>6</v>
      </c>
      <c r="J19">
        <f t="shared" si="15"/>
        <v>45</v>
      </c>
      <c r="K19">
        <f t="shared" si="2"/>
        <v>0.94604146249571819</v>
      </c>
      <c r="L19">
        <f t="shared" si="3"/>
        <v>1.35</v>
      </c>
      <c r="M19">
        <f t="shared" si="4"/>
        <v>10</v>
      </c>
      <c r="N19">
        <v>2.5</v>
      </c>
      <c r="O19">
        <f t="shared" si="5"/>
        <v>325</v>
      </c>
      <c r="P19">
        <f t="shared" si="6"/>
        <v>203400</v>
      </c>
      <c r="Q19">
        <f t="shared" si="7"/>
        <v>6480</v>
      </c>
      <c r="R19">
        <f t="shared" si="8"/>
        <v>452.38934211693021</v>
      </c>
      <c r="S19">
        <f t="shared" si="9"/>
        <v>6932.3893421169305</v>
      </c>
      <c r="T19">
        <f t="shared" si="16"/>
        <v>98937843.544753</v>
      </c>
      <c r="U19">
        <f t="shared" si="10"/>
        <v>119.46474135158041</v>
      </c>
      <c r="V19">
        <f t="shared" si="11"/>
        <v>83.706706153327374</v>
      </c>
      <c r="W19">
        <f t="shared" si="17"/>
        <v>1.0650661603318963</v>
      </c>
      <c r="X19">
        <f t="shared" si="12"/>
        <v>2253.0265361880024</v>
      </c>
      <c r="Y19">
        <v>1280</v>
      </c>
      <c r="Z19">
        <f t="shared" si="13"/>
        <v>0.56812468891986068</v>
      </c>
      <c r="AA19" t="str">
        <f t="shared" si="18"/>
        <v>MC-M18</v>
      </c>
      <c r="AB19">
        <f t="shared" si="19"/>
        <v>490</v>
      </c>
      <c r="AC19">
        <f t="shared" si="26"/>
        <v>517.02058150931066</v>
      </c>
      <c r="AD19">
        <f t="shared" si="20"/>
        <v>519.7880493042129</v>
      </c>
      <c r="AE19">
        <f t="shared" si="21"/>
        <v>325.88344850615891</v>
      </c>
      <c r="AF19">
        <f t="shared" si="22"/>
        <v>473.25094511267991</v>
      </c>
      <c r="AG19">
        <f t="shared" si="25"/>
        <v>2320.0936837157406</v>
      </c>
      <c r="AH19">
        <f t="shared" si="14"/>
        <v>0.55170185970681107</v>
      </c>
    </row>
    <row r="20" spans="1:34" x14ac:dyDescent="0.25">
      <c r="A20">
        <v>19</v>
      </c>
      <c r="B20" t="str">
        <f t="shared" si="0"/>
        <v>Q355+S205</v>
      </c>
      <c r="C20">
        <v>355</v>
      </c>
      <c r="D20">
        <v>205</v>
      </c>
      <c r="E20">
        <v>0.2</v>
      </c>
      <c r="F20">
        <v>12000</v>
      </c>
      <c r="G20">
        <v>270</v>
      </c>
      <c r="H20">
        <f t="shared" si="1"/>
        <v>300</v>
      </c>
      <c r="I20">
        <v>6</v>
      </c>
      <c r="J20">
        <f t="shared" si="15"/>
        <v>45</v>
      </c>
      <c r="K20">
        <f t="shared" si="2"/>
        <v>0.94604146249571819</v>
      </c>
      <c r="L20">
        <f t="shared" si="3"/>
        <v>1.35</v>
      </c>
      <c r="M20">
        <f t="shared" si="4"/>
        <v>12</v>
      </c>
      <c r="N20">
        <v>2.5</v>
      </c>
      <c r="O20">
        <f t="shared" si="5"/>
        <v>325</v>
      </c>
      <c r="P20">
        <f t="shared" si="6"/>
        <v>203400</v>
      </c>
      <c r="Q20">
        <f t="shared" si="7"/>
        <v>6480</v>
      </c>
      <c r="R20">
        <f t="shared" si="8"/>
        <v>452.38934211693021</v>
      </c>
      <c r="S20">
        <f t="shared" si="9"/>
        <v>6932.3893421169305</v>
      </c>
      <c r="T20">
        <f t="shared" si="16"/>
        <v>98937843.544753</v>
      </c>
      <c r="U20">
        <f t="shared" si="10"/>
        <v>119.46474135158041</v>
      </c>
      <c r="V20">
        <f t="shared" si="11"/>
        <v>100.44804738399286</v>
      </c>
      <c r="W20">
        <f t="shared" si="17"/>
        <v>1.2780793923982756</v>
      </c>
      <c r="X20">
        <f t="shared" si="12"/>
        <v>2253.0265361880024</v>
      </c>
      <c r="Y20">
        <v>1055.0999999999999</v>
      </c>
      <c r="Z20">
        <f t="shared" si="13"/>
        <v>0.46830340568698819</v>
      </c>
      <c r="AA20" t="str">
        <f t="shared" si="18"/>
        <v>MC-M19</v>
      </c>
      <c r="AB20">
        <f t="shared" si="19"/>
        <v>490</v>
      </c>
      <c r="AC20">
        <f t="shared" si="26"/>
        <v>517.02058150931066</v>
      </c>
      <c r="AD20">
        <f t="shared" si="20"/>
        <v>519.7880493042129</v>
      </c>
      <c r="AE20">
        <f t="shared" si="21"/>
        <v>325.88344850615891</v>
      </c>
      <c r="AF20">
        <f t="shared" si="22"/>
        <v>473.25094511267991</v>
      </c>
      <c r="AG20">
        <f t="shared" si="25"/>
        <v>2320.0936837157406</v>
      </c>
      <c r="AH20">
        <f t="shared" si="14"/>
        <v>0.45476611888801277</v>
      </c>
    </row>
    <row r="21" spans="1:34" x14ac:dyDescent="0.25">
      <c r="A21">
        <v>20</v>
      </c>
      <c r="B21" t="str">
        <f t="shared" si="0"/>
        <v>Q355+S205</v>
      </c>
      <c r="C21">
        <v>355</v>
      </c>
      <c r="D21">
        <v>205</v>
      </c>
      <c r="E21">
        <v>0.2</v>
      </c>
      <c r="F21">
        <v>14000</v>
      </c>
      <c r="G21">
        <v>270</v>
      </c>
      <c r="H21">
        <f t="shared" si="1"/>
        <v>300</v>
      </c>
      <c r="I21">
        <v>6</v>
      </c>
      <c r="J21">
        <f t="shared" si="15"/>
        <v>45</v>
      </c>
      <c r="K21">
        <f t="shared" si="2"/>
        <v>0.94604146249571819</v>
      </c>
      <c r="L21">
        <f t="shared" si="3"/>
        <v>1.35</v>
      </c>
      <c r="M21">
        <f t="shared" si="4"/>
        <v>14</v>
      </c>
      <c r="N21">
        <v>2.5</v>
      </c>
      <c r="O21">
        <f t="shared" si="5"/>
        <v>325</v>
      </c>
      <c r="P21">
        <f t="shared" si="6"/>
        <v>203400</v>
      </c>
      <c r="Q21">
        <f t="shared" si="7"/>
        <v>6480</v>
      </c>
      <c r="R21">
        <f t="shared" si="8"/>
        <v>452.38934211693021</v>
      </c>
      <c r="S21">
        <f t="shared" si="9"/>
        <v>6932.3893421169305</v>
      </c>
      <c r="T21">
        <f t="shared" si="16"/>
        <v>98937843.544753</v>
      </c>
      <c r="U21">
        <f t="shared" si="10"/>
        <v>119.46474135158041</v>
      </c>
      <c r="V21">
        <f t="shared" si="11"/>
        <v>117.18938861465833</v>
      </c>
      <c r="W21">
        <f t="shared" si="17"/>
        <v>1.4910926244646545</v>
      </c>
      <c r="X21">
        <f t="shared" si="12"/>
        <v>2253.0265361880024</v>
      </c>
      <c r="Y21">
        <v>874.3</v>
      </c>
      <c r="Z21">
        <f t="shared" si="13"/>
        <v>0.38805579337705792</v>
      </c>
      <c r="AA21" t="str">
        <f t="shared" si="18"/>
        <v>MC-M20</v>
      </c>
      <c r="AB21">
        <f t="shared" si="19"/>
        <v>490</v>
      </c>
      <c r="AC21">
        <f t="shared" si="26"/>
        <v>517.02058150931066</v>
      </c>
      <c r="AD21">
        <f t="shared" si="20"/>
        <v>519.7880493042129</v>
      </c>
      <c r="AE21">
        <f t="shared" si="21"/>
        <v>325.88344850615891</v>
      </c>
      <c r="AF21">
        <f t="shared" si="22"/>
        <v>473.25094511267991</v>
      </c>
      <c r="AG21">
        <f t="shared" si="25"/>
        <v>2320.0936837157406</v>
      </c>
      <c r="AH21">
        <f t="shared" si="14"/>
        <v>0.37683823120442572</v>
      </c>
    </row>
    <row r="22" spans="1:34" x14ac:dyDescent="0.25">
      <c r="A22">
        <v>21</v>
      </c>
      <c r="B22" t="str">
        <f t="shared" si="0"/>
        <v>Q355+S205</v>
      </c>
      <c r="C22">
        <v>355</v>
      </c>
      <c r="D22">
        <v>205</v>
      </c>
      <c r="E22">
        <v>0.2</v>
      </c>
      <c r="F22">
        <v>16000</v>
      </c>
      <c r="G22">
        <v>270</v>
      </c>
      <c r="H22">
        <f t="shared" si="1"/>
        <v>300</v>
      </c>
      <c r="I22">
        <v>6</v>
      </c>
      <c r="J22">
        <f t="shared" si="15"/>
        <v>45</v>
      </c>
      <c r="K22">
        <f t="shared" si="2"/>
        <v>0.94604146249571819</v>
      </c>
      <c r="L22">
        <f t="shared" si="3"/>
        <v>1.35</v>
      </c>
      <c r="M22">
        <f t="shared" si="4"/>
        <v>16</v>
      </c>
      <c r="N22">
        <v>2.5</v>
      </c>
      <c r="O22">
        <f t="shared" si="5"/>
        <v>325</v>
      </c>
      <c r="P22">
        <f t="shared" si="6"/>
        <v>203400</v>
      </c>
      <c r="Q22">
        <f t="shared" si="7"/>
        <v>6480</v>
      </c>
      <c r="R22">
        <f t="shared" si="8"/>
        <v>452.38934211693021</v>
      </c>
      <c r="S22">
        <f t="shared" si="9"/>
        <v>6932.3893421169305</v>
      </c>
      <c r="T22">
        <f t="shared" si="16"/>
        <v>98937843.544753</v>
      </c>
      <c r="U22">
        <f t="shared" si="10"/>
        <v>119.46474135158041</v>
      </c>
      <c r="V22">
        <f t="shared" si="11"/>
        <v>133.93072984532381</v>
      </c>
      <c r="W22">
        <f t="shared" si="17"/>
        <v>1.7041058565310341</v>
      </c>
      <c r="X22">
        <f t="shared" si="12"/>
        <v>2253.0265361880024</v>
      </c>
      <c r="Y22">
        <v>692.2</v>
      </c>
      <c r="Z22">
        <f t="shared" si="13"/>
        <v>0.30723117942994338</v>
      </c>
      <c r="AA22" t="str">
        <f t="shared" si="18"/>
        <v>MC-M21</v>
      </c>
      <c r="AB22">
        <f t="shared" si="19"/>
        <v>490</v>
      </c>
      <c r="AC22">
        <f t="shared" si="26"/>
        <v>517.02058150931066</v>
      </c>
      <c r="AD22">
        <f t="shared" si="20"/>
        <v>519.7880493042129</v>
      </c>
      <c r="AE22">
        <f t="shared" si="21"/>
        <v>325.88344850615891</v>
      </c>
      <c r="AF22">
        <f t="shared" si="22"/>
        <v>473.25094511267991</v>
      </c>
      <c r="AG22">
        <f t="shared" si="25"/>
        <v>2320.0936837157406</v>
      </c>
      <c r="AH22">
        <f t="shared" si="14"/>
        <v>0.29835002131957394</v>
      </c>
    </row>
    <row r="23" spans="1:34" x14ac:dyDescent="0.25">
      <c r="A23">
        <v>22</v>
      </c>
      <c r="B23" t="str">
        <f t="shared" si="0"/>
        <v>Q355+S205</v>
      </c>
      <c r="C23">
        <v>355</v>
      </c>
      <c r="D23">
        <v>205</v>
      </c>
      <c r="E23">
        <v>0.2</v>
      </c>
      <c r="F23">
        <v>18000</v>
      </c>
      <c r="G23">
        <v>270</v>
      </c>
      <c r="H23">
        <f t="shared" si="1"/>
        <v>300</v>
      </c>
      <c r="I23">
        <v>6</v>
      </c>
      <c r="J23">
        <f t="shared" si="15"/>
        <v>45</v>
      </c>
      <c r="K23">
        <f t="shared" si="2"/>
        <v>0.94604146249571819</v>
      </c>
      <c r="L23">
        <f t="shared" si="3"/>
        <v>1.35</v>
      </c>
      <c r="M23">
        <f t="shared" si="4"/>
        <v>18</v>
      </c>
      <c r="N23">
        <v>2.5</v>
      </c>
      <c r="O23">
        <f t="shared" si="5"/>
        <v>325</v>
      </c>
      <c r="P23">
        <f t="shared" si="6"/>
        <v>203400</v>
      </c>
      <c r="Q23">
        <f t="shared" si="7"/>
        <v>6480</v>
      </c>
      <c r="R23">
        <f t="shared" si="8"/>
        <v>452.38934211693021</v>
      </c>
      <c r="S23">
        <f t="shared" si="9"/>
        <v>6932.3893421169305</v>
      </c>
      <c r="T23">
        <f t="shared" si="16"/>
        <v>98937843.544753</v>
      </c>
      <c r="U23">
        <f t="shared" si="10"/>
        <v>119.46474135158041</v>
      </c>
      <c r="V23">
        <f t="shared" si="11"/>
        <v>150.67207107598929</v>
      </c>
      <c r="W23">
        <f t="shared" si="17"/>
        <v>1.9171190885974134</v>
      </c>
      <c r="X23">
        <f t="shared" si="12"/>
        <v>2253.0265361880024</v>
      </c>
      <c r="Y23">
        <v>553.9</v>
      </c>
      <c r="Z23">
        <f t="shared" si="13"/>
        <v>0.24584708218180532</v>
      </c>
      <c r="AA23" t="str">
        <f t="shared" si="18"/>
        <v>MC-M22</v>
      </c>
      <c r="AB23">
        <f t="shared" si="19"/>
        <v>490</v>
      </c>
      <c r="AC23">
        <f t="shared" si="26"/>
        <v>517.02058150931066</v>
      </c>
      <c r="AD23">
        <f t="shared" si="20"/>
        <v>519.7880493042129</v>
      </c>
      <c r="AE23">
        <f t="shared" si="21"/>
        <v>325.88344850615891</v>
      </c>
      <c r="AF23">
        <f t="shared" si="22"/>
        <v>473.25094511267991</v>
      </c>
      <c r="AG23">
        <f t="shared" si="25"/>
        <v>2320.0936837157406</v>
      </c>
      <c r="AH23">
        <f t="shared" si="14"/>
        <v>0.23874035944656458</v>
      </c>
    </row>
    <row r="24" spans="1:34" x14ac:dyDescent="0.25">
      <c r="A24">
        <v>23</v>
      </c>
      <c r="B24" t="str">
        <f t="shared" si="0"/>
        <v>Q460+S205</v>
      </c>
      <c r="C24">
        <v>460</v>
      </c>
      <c r="D24">
        <v>205</v>
      </c>
      <c r="E24">
        <v>0.2</v>
      </c>
      <c r="F24">
        <v>2000</v>
      </c>
      <c r="G24">
        <v>270</v>
      </c>
      <c r="H24">
        <f t="shared" si="1"/>
        <v>300</v>
      </c>
      <c r="I24">
        <v>6</v>
      </c>
      <c r="J24">
        <f t="shared" si="15"/>
        <v>45</v>
      </c>
      <c r="K24">
        <f t="shared" si="2"/>
        <v>1.061280401638677</v>
      </c>
      <c r="L24">
        <f t="shared" si="3"/>
        <v>1.35</v>
      </c>
      <c r="M24">
        <f t="shared" si="4"/>
        <v>2</v>
      </c>
      <c r="N24">
        <v>2.5</v>
      </c>
      <c r="O24">
        <f t="shared" si="5"/>
        <v>409</v>
      </c>
      <c r="P24">
        <f t="shared" si="6"/>
        <v>203400</v>
      </c>
      <c r="Q24">
        <f t="shared" si="7"/>
        <v>6480</v>
      </c>
      <c r="R24">
        <f t="shared" si="8"/>
        <v>452.38934211693021</v>
      </c>
      <c r="S24">
        <f t="shared" si="9"/>
        <v>6932.3893421169305</v>
      </c>
      <c r="T24">
        <f t="shared" si="16"/>
        <v>98937843.544753</v>
      </c>
      <c r="U24">
        <f t="shared" si="10"/>
        <v>119.46474135158041</v>
      </c>
      <c r="V24">
        <f t="shared" si="11"/>
        <v>16.741341230665476</v>
      </c>
      <c r="W24">
        <f t="shared" si="17"/>
        <v>0.23896074056350664</v>
      </c>
      <c r="X24">
        <f t="shared" si="12"/>
        <v>2835.3472409258247</v>
      </c>
      <c r="Y24">
        <v>1927.2</v>
      </c>
      <c r="Z24">
        <f t="shared" si="13"/>
        <v>0.67970510707912879</v>
      </c>
      <c r="AA24" t="str">
        <f t="shared" si="18"/>
        <v>MC-M23</v>
      </c>
      <c r="AB24">
        <f t="shared" si="19"/>
        <v>560</v>
      </c>
      <c r="AC24">
        <f>D24/(0.2+185*D24/193000)</f>
        <v>517.02058150931066</v>
      </c>
      <c r="AD24">
        <f t="shared" si="20"/>
        <v>595.60242126349522</v>
      </c>
      <c r="AE24">
        <f t="shared" si="21"/>
        <v>325.88344850615891</v>
      </c>
      <c r="AF24">
        <f t="shared" si="22"/>
        <v>530.86986780173447</v>
      </c>
      <c r="AG24">
        <f>(AF24*R24+O24*Q24)/1000</f>
        <v>2890.4798702445282</v>
      </c>
      <c r="AH24">
        <f t="shared" si="14"/>
        <v>0.66674050210111413</v>
      </c>
    </row>
    <row r="25" spans="1:34" x14ac:dyDescent="0.25">
      <c r="A25">
        <v>24</v>
      </c>
      <c r="B25" t="str">
        <f t="shared" si="0"/>
        <v>Q460+S205</v>
      </c>
      <c r="C25">
        <v>460</v>
      </c>
      <c r="D25">
        <v>205</v>
      </c>
      <c r="E25">
        <v>0.2</v>
      </c>
      <c r="F25">
        <v>3000</v>
      </c>
      <c r="G25">
        <v>270</v>
      </c>
      <c r="H25">
        <f t="shared" si="1"/>
        <v>300</v>
      </c>
      <c r="I25">
        <v>6</v>
      </c>
      <c r="J25">
        <f t="shared" si="15"/>
        <v>45</v>
      </c>
      <c r="K25">
        <f t="shared" si="2"/>
        <v>1.061280401638677</v>
      </c>
      <c r="L25">
        <f t="shared" si="3"/>
        <v>1.35</v>
      </c>
      <c r="M25">
        <f t="shared" si="4"/>
        <v>3</v>
      </c>
      <c r="N25">
        <v>2.5</v>
      </c>
      <c r="O25">
        <f t="shared" si="5"/>
        <v>409</v>
      </c>
      <c r="P25">
        <f t="shared" si="6"/>
        <v>203400</v>
      </c>
      <c r="Q25">
        <f t="shared" si="7"/>
        <v>6480</v>
      </c>
      <c r="R25">
        <f t="shared" si="8"/>
        <v>452.38934211693021</v>
      </c>
      <c r="S25">
        <f t="shared" si="9"/>
        <v>6932.3893421169305</v>
      </c>
      <c r="T25">
        <f t="shared" si="16"/>
        <v>98937843.544753</v>
      </c>
      <c r="U25">
        <f t="shared" si="10"/>
        <v>119.46474135158041</v>
      </c>
      <c r="V25">
        <f t="shared" si="11"/>
        <v>25.112011845998214</v>
      </c>
      <c r="W25">
        <f t="shared" si="17"/>
        <v>0.35844111084525998</v>
      </c>
      <c r="X25">
        <f t="shared" si="12"/>
        <v>2835.3472409258247</v>
      </c>
      <c r="Y25">
        <v>1933.8</v>
      </c>
      <c r="Z25">
        <f t="shared" si="13"/>
        <v>0.6820328642951532</v>
      </c>
      <c r="AA25" t="str">
        <f t="shared" si="18"/>
        <v>MC-M24</v>
      </c>
      <c r="AB25">
        <f t="shared" si="19"/>
        <v>560</v>
      </c>
      <c r="AC25">
        <f>D25/(0.2+185*D25/193000)</f>
        <v>517.02058150931066</v>
      </c>
      <c r="AD25">
        <f t="shared" si="20"/>
        <v>595.60242126349522</v>
      </c>
      <c r="AE25">
        <f t="shared" si="21"/>
        <v>325.88344850615891</v>
      </c>
      <c r="AF25">
        <f t="shared" si="22"/>
        <v>530.86986780173447</v>
      </c>
      <c r="AG25">
        <f t="shared" ref="AG25:AG34" si="27">(AF25*R25+O25*Q25)/1000</f>
        <v>2890.4798702445282</v>
      </c>
      <c r="AH25">
        <f t="shared" si="14"/>
        <v>0.66902385998502201</v>
      </c>
    </row>
    <row r="26" spans="1:34" x14ac:dyDescent="0.25">
      <c r="A26">
        <v>25</v>
      </c>
      <c r="B26" t="str">
        <f t="shared" si="0"/>
        <v>Q460+S205</v>
      </c>
      <c r="C26">
        <v>460</v>
      </c>
      <c r="D26">
        <v>205</v>
      </c>
      <c r="E26">
        <v>0.2</v>
      </c>
      <c r="F26">
        <v>4000</v>
      </c>
      <c r="G26">
        <v>270</v>
      </c>
      <c r="H26">
        <f t="shared" si="1"/>
        <v>300</v>
      </c>
      <c r="I26">
        <v>6</v>
      </c>
      <c r="J26">
        <f t="shared" si="15"/>
        <v>45</v>
      </c>
      <c r="K26">
        <f t="shared" si="2"/>
        <v>1.061280401638677</v>
      </c>
      <c r="L26">
        <f t="shared" si="3"/>
        <v>1.35</v>
      </c>
      <c r="M26">
        <f t="shared" si="4"/>
        <v>4</v>
      </c>
      <c r="N26">
        <v>2.5</v>
      </c>
      <c r="O26">
        <f t="shared" si="5"/>
        <v>409</v>
      </c>
      <c r="P26">
        <f t="shared" si="6"/>
        <v>203400</v>
      </c>
      <c r="Q26">
        <f t="shared" si="7"/>
        <v>6480</v>
      </c>
      <c r="R26">
        <f t="shared" si="8"/>
        <v>452.38934211693021</v>
      </c>
      <c r="S26">
        <f t="shared" si="9"/>
        <v>6932.3893421169305</v>
      </c>
      <c r="T26">
        <f t="shared" si="16"/>
        <v>98937843.544753</v>
      </c>
      <c r="U26">
        <f t="shared" si="10"/>
        <v>119.46474135158041</v>
      </c>
      <c r="V26">
        <f t="shared" si="11"/>
        <v>33.482682461330953</v>
      </c>
      <c r="W26">
        <f t="shared" si="17"/>
        <v>0.47792148112701327</v>
      </c>
      <c r="X26">
        <f t="shared" si="12"/>
        <v>2835.3472409258247</v>
      </c>
      <c r="Y26">
        <v>1914.1</v>
      </c>
      <c r="Z26">
        <f t="shared" si="13"/>
        <v>0.6750848616958075</v>
      </c>
      <c r="AA26" t="str">
        <f t="shared" si="18"/>
        <v>MC-M25</v>
      </c>
      <c r="AB26">
        <f t="shared" si="19"/>
        <v>560</v>
      </c>
      <c r="AC26">
        <f>D26/(0.2+185*D26/193000)</f>
        <v>517.02058150931066</v>
      </c>
      <c r="AD26">
        <f t="shared" si="20"/>
        <v>595.60242126349522</v>
      </c>
      <c r="AE26">
        <f t="shared" si="21"/>
        <v>325.88344850615891</v>
      </c>
      <c r="AF26">
        <f t="shared" si="22"/>
        <v>530.86986780173447</v>
      </c>
      <c r="AG26">
        <f t="shared" si="27"/>
        <v>2890.4798702445282</v>
      </c>
      <c r="AH26">
        <f t="shared" si="14"/>
        <v>0.66220838266487259</v>
      </c>
    </row>
    <row r="27" spans="1:34" x14ac:dyDescent="0.25">
      <c r="A27">
        <v>26</v>
      </c>
      <c r="B27" t="str">
        <f t="shared" si="0"/>
        <v>Q460+S205</v>
      </c>
      <c r="C27">
        <v>460</v>
      </c>
      <c r="D27">
        <v>205</v>
      </c>
      <c r="E27">
        <v>0.2</v>
      </c>
      <c r="F27">
        <v>5000</v>
      </c>
      <c r="G27">
        <v>270</v>
      </c>
      <c r="H27">
        <f t="shared" si="1"/>
        <v>300</v>
      </c>
      <c r="I27">
        <v>6</v>
      </c>
      <c r="J27">
        <f t="shared" si="15"/>
        <v>45</v>
      </c>
      <c r="K27">
        <f t="shared" si="2"/>
        <v>1.061280401638677</v>
      </c>
      <c r="L27">
        <f t="shared" si="3"/>
        <v>1.35</v>
      </c>
      <c r="M27">
        <f t="shared" si="4"/>
        <v>5</v>
      </c>
      <c r="N27">
        <v>2.5</v>
      </c>
      <c r="O27">
        <f t="shared" si="5"/>
        <v>409</v>
      </c>
      <c r="P27">
        <f t="shared" si="6"/>
        <v>203400</v>
      </c>
      <c r="Q27">
        <f t="shared" si="7"/>
        <v>6480</v>
      </c>
      <c r="R27">
        <f t="shared" si="8"/>
        <v>452.38934211693021</v>
      </c>
      <c r="S27">
        <f t="shared" si="9"/>
        <v>6932.3893421169305</v>
      </c>
      <c r="T27">
        <f t="shared" si="16"/>
        <v>98937843.544753</v>
      </c>
      <c r="U27">
        <f t="shared" si="10"/>
        <v>119.46474135158041</v>
      </c>
      <c r="V27">
        <f t="shared" si="11"/>
        <v>41.853353076663687</v>
      </c>
      <c r="W27">
        <f t="shared" si="17"/>
        <v>0.59740185140876656</v>
      </c>
      <c r="X27">
        <f t="shared" si="12"/>
        <v>2835.3472409258247</v>
      </c>
      <c r="Y27">
        <v>1892.7</v>
      </c>
      <c r="Z27">
        <f t="shared" si="13"/>
        <v>0.66753728526809208</v>
      </c>
      <c r="AA27" t="str">
        <f t="shared" si="18"/>
        <v>MC-M26</v>
      </c>
      <c r="AB27">
        <f t="shared" si="19"/>
        <v>560</v>
      </c>
      <c r="AC27">
        <f t="shared" ref="AC27:AC34" si="28">D27/(0.2+185*D27/193000)</f>
        <v>517.02058150931066</v>
      </c>
      <c r="AD27">
        <f t="shared" si="20"/>
        <v>595.60242126349522</v>
      </c>
      <c r="AE27">
        <f t="shared" si="21"/>
        <v>325.88344850615891</v>
      </c>
      <c r="AF27">
        <f t="shared" si="22"/>
        <v>530.86986780173447</v>
      </c>
      <c r="AG27">
        <f t="shared" si="27"/>
        <v>2890.4798702445282</v>
      </c>
      <c r="AH27">
        <f t="shared" si="14"/>
        <v>0.65480476770795915</v>
      </c>
    </row>
    <row r="28" spans="1:34" x14ac:dyDescent="0.25">
      <c r="A28">
        <v>27</v>
      </c>
      <c r="B28" t="str">
        <f t="shared" si="0"/>
        <v>Q460+S205</v>
      </c>
      <c r="C28">
        <v>460</v>
      </c>
      <c r="D28">
        <v>205</v>
      </c>
      <c r="E28">
        <v>0.2</v>
      </c>
      <c r="F28">
        <v>6000</v>
      </c>
      <c r="G28">
        <v>270</v>
      </c>
      <c r="H28">
        <f t="shared" si="1"/>
        <v>300</v>
      </c>
      <c r="I28">
        <v>6</v>
      </c>
      <c r="J28">
        <f t="shared" si="15"/>
        <v>45</v>
      </c>
      <c r="K28">
        <f t="shared" si="2"/>
        <v>1.061280401638677</v>
      </c>
      <c r="L28">
        <f t="shared" si="3"/>
        <v>1.35</v>
      </c>
      <c r="M28">
        <f t="shared" si="4"/>
        <v>6</v>
      </c>
      <c r="N28">
        <v>2.5</v>
      </c>
      <c r="O28">
        <f t="shared" si="5"/>
        <v>409</v>
      </c>
      <c r="P28">
        <f t="shared" si="6"/>
        <v>203400</v>
      </c>
      <c r="Q28">
        <f t="shared" si="7"/>
        <v>6480</v>
      </c>
      <c r="R28">
        <f t="shared" si="8"/>
        <v>452.38934211693021</v>
      </c>
      <c r="S28">
        <f t="shared" si="9"/>
        <v>6932.3893421169305</v>
      </c>
      <c r="T28">
        <f t="shared" si="16"/>
        <v>98937843.544753</v>
      </c>
      <c r="U28">
        <f t="shared" si="10"/>
        <v>119.46474135158041</v>
      </c>
      <c r="V28">
        <f t="shared" si="11"/>
        <v>50.224023691996429</v>
      </c>
      <c r="W28">
        <f t="shared" si="17"/>
        <v>0.71688222169051996</v>
      </c>
      <c r="X28">
        <f t="shared" si="12"/>
        <v>2835.3472409258247</v>
      </c>
      <c r="Y28">
        <v>1850.3</v>
      </c>
      <c r="Z28">
        <f t="shared" si="13"/>
        <v>0.65258320860757157</v>
      </c>
      <c r="AA28" t="str">
        <f t="shared" si="18"/>
        <v>MC-M27</v>
      </c>
      <c r="AB28">
        <f t="shared" si="19"/>
        <v>560</v>
      </c>
      <c r="AC28">
        <f t="shared" si="28"/>
        <v>517.02058150931066</v>
      </c>
      <c r="AD28">
        <f t="shared" si="20"/>
        <v>595.60242126349522</v>
      </c>
      <c r="AE28">
        <f t="shared" si="21"/>
        <v>325.88344850615891</v>
      </c>
      <c r="AF28">
        <f t="shared" si="22"/>
        <v>530.86986780173447</v>
      </c>
      <c r="AG28">
        <f t="shared" si="27"/>
        <v>2890.4798702445282</v>
      </c>
      <c r="AH28">
        <f t="shared" si="14"/>
        <v>0.64013592312042933</v>
      </c>
    </row>
    <row r="29" spans="1:34" x14ac:dyDescent="0.25">
      <c r="A29">
        <v>28</v>
      </c>
      <c r="B29" t="str">
        <f t="shared" si="0"/>
        <v>Q460+S205</v>
      </c>
      <c r="C29">
        <v>460</v>
      </c>
      <c r="D29">
        <v>205</v>
      </c>
      <c r="E29">
        <v>0.2</v>
      </c>
      <c r="F29">
        <v>8000</v>
      </c>
      <c r="G29">
        <v>270</v>
      </c>
      <c r="H29">
        <f t="shared" si="1"/>
        <v>300</v>
      </c>
      <c r="I29">
        <v>6</v>
      </c>
      <c r="J29">
        <f t="shared" si="15"/>
        <v>45</v>
      </c>
      <c r="K29">
        <f t="shared" si="2"/>
        <v>1.061280401638677</v>
      </c>
      <c r="L29">
        <f t="shared" si="3"/>
        <v>1.35</v>
      </c>
      <c r="M29">
        <f t="shared" si="4"/>
        <v>8</v>
      </c>
      <c r="N29">
        <v>2.5</v>
      </c>
      <c r="O29">
        <f t="shared" si="5"/>
        <v>409</v>
      </c>
      <c r="P29">
        <f t="shared" si="6"/>
        <v>203400</v>
      </c>
      <c r="Q29">
        <f t="shared" si="7"/>
        <v>6480</v>
      </c>
      <c r="R29">
        <f t="shared" si="8"/>
        <v>452.38934211693021</v>
      </c>
      <c r="S29">
        <f t="shared" si="9"/>
        <v>6932.3893421169305</v>
      </c>
      <c r="T29">
        <f t="shared" si="16"/>
        <v>98937843.544753</v>
      </c>
      <c r="U29">
        <f t="shared" si="10"/>
        <v>119.46474135158041</v>
      </c>
      <c r="V29">
        <f t="shared" si="11"/>
        <v>66.965364922661905</v>
      </c>
      <c r="W29">
        <f t="shared" si="17"/>
        <v>0.95584296225402654</v>
      </c>
      <c r="X29">
        <f t="shared" si="12"/>
        <v>2835.3472409258247</v>
      </c>
      <c r="Y29">
        <v>1683.4</v>
      </c>
      <c r="Z29">
        <f t="shared" si="13"/>
        <v>0.59371916628113608</v>
      </c>
      <c r="AA29" t="str">
        <f t="shared" si="18"/>
        <v>MC-M28</v>
      </c>
      <c r="AB29">
        <f t="shared" si="19"/>
        <v>560</v>
      </c>
      <c r="AC29">
        <f t="shared" si="28"/>
        <v>517.02058150931066</v>
      </c>
      <c r="AD29">
        <f t="shared" si="20"/>
        <v>595.60242126349522</v>
      </c>
      <c r="AE29">
        <f t="shared" si="21"/>
        <v>325.88344850615891</v>
      </c>
      <c r="AF29">
        <f t="shared" si="22"/>
        <v>530.86986780173447</v>
      </c>
      <c r="AG29">
        <f t="shared" si="27"/>
        <v>2890.4798702445282</v>
      </c>
      <c r="AH29">
        <f t="shared" si="14"/>
        <v>0.5823946457228184</v>
      </c>
    </row>
    <row r="30" spans="1:34" x14ac:dyDescent="0.25">
      <c r="A30">
        <v>29</v>
      </c>
      <c r="B30" t="str">
        <f t="shared" si="0"/>
        <v>Q460+S205</v>
      </c>
      <c r="C30">
        <v>460</v>
      </c>
      <c r="D30">
        <v>205</v>
      </c>
      <c r="E30">
        <v>0.2</v>
      </c>
      <c r="F30">
        <v>10000</v>
      </c>
      <c r="G30">
        <v>270</v>
      </c>
      <c r="H30">
        <f t="shared" si="1"/>
        <v>300</v>
      </c>
      <c r="I30">
        <v>6</v>
      </c>
      <c r="J30">
        <f t="shared" si="15"/>
        <v>45</v>
      </c>
      <c r="K30">
        <f t="shared" si="2"/>
        <v>1.061280401638677</v>
      </c>
      <c r="L30">
        <f t="shared" si="3"/>
        <v>1.35</v>
      </c>
      <c r="M30">
        <f t="shared" si="4"/>
        <v>10</v>
      </c>
      <c r="N30">
        <v>2.5</v>
      </c>
      <c r="O30">
        <f t="shared" si="5"/>
        <v>409</v>
      </c>
      <c r="P30">
        <f t="shared" si="6"/>
        <v>203400</v>
      </c>
      <c r="Q30">
        <f t="shared" si="7"/>
        <v>6480</v>
      </c>
      <c r="R30">
        <f t="shared" si="8"/>
        <v>452.38934211693021</v>
      </c>
      <c r="S30">
        <f t="shared" si="9"/>
        <v>6932.3893421169305</v>
      </c>
      <c r="T30">
        <f t="shared" si="16"/>
        <v>98937843.544753</v>
      </c>
      <c r="U30">
        <f t="shared" si="10"/>
        <v>119.46474135158041</v>
      </c>
      <c r="V30">
        <f t="shared" si="11"/>
        <v>83.706706153327374</v>
      </c>
      <c r="W30">
        <f t="shared" si="17"/>
        <v>1.1948037028175331</v>
      </c>
      <c r="X30">
        <f t="shared" si="12"/>
        <v>2835.3472409258247</v>
      </c>
      <c r="Y30">
        <v>1392.5</v>
      </c>
      <c r="Z30">
        <f t="shared" si="13"/>
        <v>0.49112150353242362</v>
      </c>
      <c r="AA30" t="str">
        <f t="shared" si="18"/>
        <v>MC-M29</v>
      </c>
      <c r="AB30">
        <f t="shared" si="19"/>
        <v>560</v>
      </c>
      <c r="AC30">
        <f t="shared" si="28"/>
        <v>517.02058150931066</v>
      </c>
      <c r="AD30">
        <f t="shared" si="20"/>
        <v>595.60242126349522</v>
      </c>
      <c r="AE30">
        <f t="shared" si="21"/>
        <v>325.88344850615891</v>
      </c>
      <c r="AF30">
        <f t="shared" si="22"/>
        <v>530.86986780173447</v>
      </c>
      <c r="AG30">
        <f t="shared" si="27"/>
        <v>2890.4798702445282</v>
      </c>
      <c r="AH30">
        <f t="shared" si="14"/>
        <v>0.48175391717299781</v>
      </c>
    </row>
    <row r="31" spans="1:34" x14ac:dyDescent="0.25">
      <c r="A31">
        <v>30</v>
      </c>
      <c r="B31" t="str">
        <f t="shared" si="0"/>
        <v>Q460+S205</v>
      </c>
      <c r="C31">
        <v>460</v>
      </c>
      <c r="D31">
        <v>205</v>
      </c>
      <c r="E31">
        <v>0.2</v>
      </c>
      <c r="F31">
        <v>12000</v>
      </c>
      <c r="G31">
        <v>270</v>
      </c>
      <c r="H31">
        <f t="shared" si="1"/>
        <v>300</v>
      </c>
      <c r="I31">
        <v>6</v>
      </c>
      <c r="J31">
        <f t="shared" si="15"/>
        <v>45</v>
      </c>
      <c r="K31">
        <f t="shared" si="2"/>
        <v>1.061280401638677</v>
      </c>
      <c r="L31">
        <f t="shared" si="3"/>
        <v>1.35</v>
      </c>
      <c r="M31">
        <f t="shared" si="4"/>
        <v>12</v>
      </c>
      <c r="N31">
        <v>2.5</v>
      </c>
      <c r="O31">
        <f t="shared" si="5"/>
        <v>409</v>
      </c>
      <c r="P31">
        <f t="shared" si="6"/>
        <v>203400</v>
      </c>
      <c r="Q31">
        <f t="shared" si="7"/>
        <v>6480</v>
      </c>
      <c r="R31">
        <f t="shared" si="8"/>
        <v>452.38934211693021</v>
      </c>
      <c r="S31">
        <f t="shared" si="9"/>
        <v>6932.3893421169305</v>
      </c>
      <c r="T31">
        <f t="shared" si="16"/>
        <v>98937843.544753</v>
      </c>
      <c r="U31">
        <f t="shared" si="10"/>
        <v>119.46474135158041</v>
      </c>
      <c r="V31">
        <f t="shared" si="11"/>
        <v>100.44804738399286</v>
      </c>
      <c r="W31">
        <f t="shared" si="17"/>
        <v>1.4337644433810399</v>
      </c>
      <c r="X31">
        <f t="shared" si="12"/>
        <v>2835.3472409258247</v>
      </c>
      <c r="Y31">
        <v>1108</v>
      </c>
      <c r="Z31">
        <f t="shared" si="13"/>
        <v>0.39078105990228035</v>
      </c>
      <c r="AA31" t="str">
        <f t="shared" si="18"/>
        <v>MC-M30</v>
      </c>
      <c r="AB31">
        <f t="shared" si="19"/>
        <v>560</v>
      </c>
      <c r="AC31">
        <f t="shared" si="28"/>
        <v>517.02058150931066</v>
      </c>
      <c r="AD31">
        <f t="shared" si="20"/>
        <v>595.60242126349522</v>
      </c>
      <c r="AE31">
        <f t="shared" si="21"/>
        <v>325.88344850615891</v>
      </c>
      <c r="AF31">
        <f t="shared" si="22"/>
        <v>530.86986780173447</v>
      </c>
      <c r="AG31">
        <f t="shared" si="27"/>
        <v>2890.4798702445282</v>
      </c>
      <c r="AH31">
        <f t="shared" si="14"/>
        <v>0.38332735384393651</v>
      </c>
    </row>
    <row r="32" spans="1:34" x14ac:dyDescent="0.25">
      <c r="A32">
        <v>31</v>
      </c>
      <c r="B32" t="str">
        <f t="shared" si="0"/>
        <v>Q460+S205</v>
      </c>
      <c r="C32">
        <v>460</v>
      </c>
      <c r="D32">
        <v>205</v>
      </c>
      <c r="E32">
        <v>0.2</v>
      </c>
      <c r="F32">
        <v>14000</v>
      </c>
      <c r="G32">
        <v>270</v>
      </c>
      <c r="H32">
        <f t="shared" si="1"/>
        <v>300</v>
      </c>
      <c r="I32">
        <v>6</v>
      </c>
      <c r="J32">
        <f t="shared" si="15"/>
        <v>45</v>
      </c>
      <c r="K32">
        <f t="shared" si="2"/>
        <v>1.061280401638677</v>
      </c>
      <c r="L32">
        <f t="shared" si="3"/>
        <v>1.35</v>
      </c>
      <c r="M32">
        <f t="shared" si="4"/>
        <v>14</v>
      </c>
      <c r="N32">
        <v>2.5</v>
      </c>
      <c r="O32">
        <f t="shared" si="5"/>
        <v>409</v>
      </c>
      <c r="P32">
        <f t="shared" si="6"/>
        <v>203400</v>
      </c>
      <c r="Q32">
        <f t="shared" si="7"/>
        <v>6480</v>
      </c>
      <c r="R32">
        <f t="shared" si="8"/>
        <v>452.38934211693021</v>
      </c>
      <c r="S32">
        <f t="shared" si="9"/>
        <v>6932.3893421169305</v>
      </c>
      <c r="T32">
        <f t="shared" si="16"/>
        <v>98937843.544753</v>
      </c>
      <c r="U32">
        <f t="shared" si="10"/>
        <v>119.46474135158041</v>
      </c>
      <c r="V32">
        <f t="shared" si="11"/>
        <v>117.18938861465833</v>
      </c>
      <c r="W32">
        <f t="shared" si="17"/>
        <v>1.6727251839445463</v>
      </c>
      <c r="X32">
        <f t="shared" si="12"/>
        <v>2835.3472409258247</v>
      </c>
      <c r="Y32">
        <v>910.2</v>
      </c>
      <c r="Z32">
        <f t="shared" si="13"/>
        <v>0.32101888151900321</v>
      </c>
      <c r="AA32" t="str">
        <f t="shared" si="18"/>
        <v>MC-M31</v>
      </c>
      <c r="AB32">
        <f t="shared" si="19"/>
        <v>560</v>
      </c>
      <c r="AC32">
        <f t="shared" si="28"/>
        <v>517.02058150931066</v>
      </c>
      <c r="AD32">
        <f t="shared" si="20"/>
        <v>595.60242126349522</v>
      </c>
      <c r="AE32">
        <f t="shared" si="21"/>
        <v>325.88344850615891</v>
      </c>
      <c r="AF32">
        <f t="shared" si="22"/>
        <v>530.86986780173447</v>
      </c>
      <c r="AG32">
        <f t="shared" si="27"/>
        <v>2890.4798702445282</v>
      </c>
      <c r="AH32">
        <f t="shared" si="14"/>
        <v>0.31489580998984751</v>
      </c>
    </row>
    <row r="33" spans="1:34" x14ac:dyDescent="0.25">
      <c r="A33">
        <v>32</v>
      </c>
      <c r="B33" t="str">
        <f t="shared" si="0"/>
        <v>Q460+S205</v>
      </c>
      <c r="C33">
        <v>460</v>
      </c>
      <c r="D33">
        <v>205</v>
      </c>
      <c r="E33">
        <v>0.2</v>
      </c>
      <c r="F33">
        <v>16000</v>
      </c>
      <c r="G33">
        <v>270</v>
      </c>
      <c r="H33">
        <f t="shared" si="1"/>
        <v>300</v>
      </c>
      <c r="I33">
        <v>6</v>
      </c>
      <c r="J33">
        <f t="shared" si="15"/>
        <v>45</v>
      </c>
      <c r="K33">
        <f t="shared" si="2"/>
        <v>1.061280401638677</v>
      </c>
      <c r="L33">
        <f t="shared" si="3"/>
        <v>1.35</v>
      </c>
      <c r="M33">
        <f t="shared" si="4"/>
        <v>16</v>
      </c>
      <c r="N33">
        <v>2.5</v>
      </c>
      <c r="O33">
        <f t="shared" si="5"/>
        <v>409</v>
      </c>
      <c r="P33">
        <f t="shared" si="6"/>
        <v>203400</v>
      </c>
      <c r="Q33">
        <f t="shared" si="7"/>
        <v>6480</v>
      </c>
      <c r="R33">
        <f t="shared" si="8"/>
        <v>452.38934211693021</v>
      </c>
      <c r="S33">
        <f t="shared" si="9"/>
        <v>6932.3893421169305</v>
      </c>
      <c r="T33">
        <f t="shared" si="16"/>
        <v>98937843.544753</v>
      </c>
      <c r="U33">
        <f t="shared" si="10"/>
        <v>119.46474135158041</v>
      </c>
      <c r="V33">
        <f t="shared" si="11"/>
        <v>133.93072984532381</v>
      </c>
      <c r="W33">
        <f t="shared" si="17"/>
        <v>1.9116859245080531</v>
      </c>
      <c r="X33">
        <f t="shared" si="12"/>
        <v>2835.3472409258247</v>
      </c>
      <c r="Y33">
        <v>700.4</v>
      </c>
      <c r="Z33">
        <f t="shared" si="13"/>
        <v>0.24702441728840896</v>
      </c>
      <c r="AA33" t="str">
        <f t="shared" si="18"/>
        <v>MC-M32</v>
      </c>
      <c r="AB33">
        <f t="shared" si="19"/>
        <v>560</v>
      </c>
      <c r="AC33">
        <f t="shared" si="28"/>
        <v>517.02058150931066</v>
      </c>
      <c r="AD33">
        <f t="shared" si="20"/>
        <v>595.60242126349522</v>
      </c>
      <c r="AE33">
        <f t="shared" si="21"/>
        <v>325.88344850615891</v>
      </c>
      <c r="AF33">
        <f t="shared" si="22"/>
        <v>530.86986780173447</v>
      </c>
      <c r="AG33">
        <f t="shared" si="27"/>
        <v>2890.4798702445282</v>
      </c>
      <c r="AH33">
        <f t="shared" si="14"/>
        <v>0.24231270634683497</v>
      </c>
    </row>
    <row r="34" spans="1:34" x14ac:dyDescent="0.25">
      <c r="A34">
        <v>33</v>
      </c>
      <c r="B34" t="str">
        <f t="shared" si="0"/>
        <v>Q460+S205</v>
      </c>
      <c r="C34">
        <v>460</v>
      </c>
      <c r="D34">
        <v>205</v>
      </c>
      <c r="E34">
        <v>0.2</v>
      </c>
      <c r="F34">
        <v>18000</v>
      </c>
      <c r="G34">
        <v>270</v>
      </c>
      <c r="H34">
        <f t="shared" si="1"/>
        <v>300</v>
      </c>
      <c r="I34">
        <v>6</v>
      </c>
      <c r="J34">
        <f t="shared" si="15"/>
        <v>45</v>
      </c>
      <c r="K34">
        <f t="shared" si="2"/>
        <v>1.061280401638677</v>
      </c>
      <c r="L34">
        <f t="shared" si="3"/>
        <v>1.35</v>
      </c>
      <c r="M34">
        <f t="shared" si="4"/>
        <v>18</v>
      </c>
      <c r="N34">
        <v>2.5</v>
      </c>
      <c r="O34">
        <f t="shared" si="5"/>
        <v>409</v>
      </c>
      <c r="P34">
        <f t="shared" si="6"/>
        <v>203400</v>
      </c>
      <c r="Q34">
        <f t="shared" si="7"/>
        <v>6480</v>
      </c>
      <c r="R34">
        <f t="shared" si="8"/>
        <v>452.38934211693021</v>
      </c>
      <c r="S34">
        <f t="shared" si="9"/>
        <v>6932.3893421169305</v>
      </c>
      <c r="T34">
        <f t="shared" si="16"/>
        <v>98937843.544753</v>
      </c>
      <c r="U34">
        <f t="shared" si="10"/>
        <v>119.46474135158041</v>
      </c>
      <c r="V34">
        <f t="shared" si="11"/>
        <v>150.67207107598929</v>
      </c>
      <c r="W34">
        <f t="shared" si="17"/>
        <v>2.1506466650715601</v>
      </c>
      <c r="X34">
        <f t="shared" si="12"/>
        <v>2835.3472409258247</v>
      </c>
      <c r="Y34">
        <v>553.79999999999995</v>
      </c>
      <c r="Z34">
        <f t="shared" si="13"/>
        <v>0.19531999185368487</v>
      </c>
      <c r="AA34" t="str">
        <f t="shared" si="18"/>
        <v>MC-M33</v>
      </c>
      <c r="AB34">
        <f t="shared" si="19"/>
        <v>560</v>
      </c>
      <c r="AC34">
        <f t="shared" si="28"/>
        <v>517.02058150931066</v>
      </c>
      <c r="AD34">
        <f t="shared" si="20"/>
        <v>595.60242126349522</v>
      </c>
      <c r="AE34">
        <f t="shared" si="21"/>
        <v>325.88344850615891</v>
      </c>
      <c r="AF34">
        <f t="shared" si="22"/>
        <v>530.86986780173447</v>
      </c>
      <c r="AG34">
        <f t="shared" si="27"/>
        <v>2890.4798702445282</v>
      </c>
      <c r="AH34">
        <f t="shared" si="14"/>
        <v>0.19159448425881953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B11F-4590-4780-AE59-E5424DA10A8A}">
  <dimension ref="A1:AH67"/>
  <sheetViews>
    <sheetView topLeftCell="A22" zoomScale="85" zoomScaleNormal="85" workbookViewId="0">
      <selection activeCell="Y56" sqref="Y56"/>
    </sheetView>
  </sheetViews>
  <sheetFormatPr defaultRowHeight="13.8" x14ac:dyDescent="0.25"/>
  <sheetData>
    <row r="1" spans="1:3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t="s">
        <v>36</v>
      </c>
      <c r="W1" s="5" t="s">
        <v>27</v>
      </c>
      <c r="X1" s="2" t="s">
        <v>12</v>
      </c>
      <c r="Y1" s="2" t="s">
        <v>13</v>
      </c>
      <c r="Z1" s="3" t="s">
        <v>14</v>
      </c>
      <c r="AA1" s="3" t="s">
        <v>32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s="2" t="s">
        <v>20</v>
      </c>
      <c r="AH1" s="3" t="s">
        <v>21</v>
      </c>
    </row>
    <row r="2" spans="1:34" x14ac:dyDescent="0.25">
      <c r="A2">
        <v>1</v>
      </c>
      <c r="B2">
        <v>355</v>
      </c>
      <c r="C2">
        <v>205</v>
      </c>
      <c r="D2">
        <v>0.2</v>
      </c>
      <c r="E2">
        <v>2000</v>
      </c>
      <c r="F2">
        <v>270</v>
      </c>
      <c r="G2">
        <f>F2+2*H2*M2</f>
        <v>300</v>
      </c>
      <c r="H2">
        <v>6</v>
      </c>
      <c r="I2">
        <f>F2/H2</f>
        <v>45</v>
      </c>
      <c r="J2">
        <f>SQRT(12*(1-0.3^2)*I2^2*N2/(4*PI()^2*O2))</f>
        <v>0.94604146249571819</v>
      </c>
      <c r="K2">
        <f>H2*I2/200</f>
        <v>1.35</v>
      </c>
      <c r="L2">
        <f t="shared" ref="L2:L12" si="0">E2/1000</f>
        <v>2</v>
      </c>
      <c r="M2">
        <v>2.5</v>
      </c>
      <c r="N2">
        <f>D2*C2+(1-D2)*B2</f>
        <v>325</v>
      </c>
      <c r="O2">
        <f>193000*D2+(1-D2)*206000</f>
        <v>203400</v>
      </c>
      <c r="P2">
        <f>H2*I2*H2*4</f>
        <v>6480</v>
      </c>
      <c r="Q2">
        <f>PI()*(M2*H2)^2-PI()*((M2-1)*H2)^2</f>
        <v>452.38934211693021</v>
      </c>
      <c r="R2">
        <f>P2+Q2</f>
        <v>6932.3893421169305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98937843.544753</v>
      </c>
      <c r="T2">
        <f>SQRT(S2/R2)</f>
        <v>119.46474135158041</v>
      </c>
      <c r="U2">
        <f>E2/T2</f>
        <v>16.741341230665476</v>
      </c>
      <c r="V2" t="s">
        <v>33</v>
      </c>
      <c r="W2">
        <f>U2/PI()*SQRT(N2/O2)</f>
        <v>0.21301323206637926</v>
      </c>
      <c r="X2">
        <f>R2*N2/1000</f>
        <v>2253.0265361880024</v>
      </c>
      <c r="Y2">
        <v>1656.4</v>
      </c>
      <c r="Z2">
        <f t="shared" ref="Z2:Z43" si="1">Y2/X2</f>
        <v>0.73518885525535715</v>
      </c>
      <c r="AA2" t="str">
        <f>"MC-R"&amp;A2</f>
        <v>MC-R1</v>
      </c>
      <c r="AB2">
        <f t="shared" ref="AB2:AB22" si="2">IF(B2=235,360,IF(B2=355,490,560))</f>
        <v>490</v>
      </c>
      <c r="AC2">
        <f t="shared" ref="AC2:AC22" si="3">C2/(0.2+185*C2/193000)</f>
        <v>517.02058150931066</v>
      </c>
      <c r="AD2">
        <f t="shared" ref="AD2:AD22" si="4">B2*(2.769*(AB2/B2)-0.581*(AB2/B2)^2-1.182)/((M2-1)^(0.314*(AB2/B2)-0.32))</f>
        <v>519.7880493042129</v>
      </c>
      <c r="AE2">
        <f t="shared" ref="AE2:AE22" si="5">1.673*C2/(M2-1)^0.126</f>
        <v>325.88344850615891</v>
      </c>
      <c r="AF2">
        <f t="shared" ref="AF2:AF22" si="6">AD2*(1-((2*M2*H2-D2*H2)/(2*M2*H2-H2)*D2))+AE2*((2*M2*H2-D2*H2)/(2*M2*H2-H2)*D2)</f>
        <v>473.25094511267991</v>
      </c>
      <c r="AG2">
        <f t="shared" ref="AG2:AG43" si="7">(AF2*Q2+N2*P2)/1000</f>
        <v>2320.0936837157406</v>
      </c>
      <c r="AH2">
        <f t="shared" ref="AH2:AH43" si="8">Y2/AG2</f>
        <v>0.71393668782684527</v>
      </c>
    </row>
    <row r="3" spans="1:34" x14ac:dyDescent="0.25">
      <c r="A3">
        <v>2</v>
      </c>
      <c r="B3">
        <v>355</v>
      </c>
      <c r="C3">
        <v>205</v>
      </c>
      <c r="D3">
        <v>0.2</v>
      </c>
      <c r="E3">
        <v>3000</v>
      </c>
      <c r="F3">
        <v>270</v>
      </c>
      <c r="G3">
        <f t="shared" ref="G3:G12" si="9">F3+2*H3*M3</f>
        <v>300</v>
      </c>
      <c r="H3">
        <v>6</v>
      </c>
      <c r="I3">
        <f t="shared" ref="I3:I23" si="10">F3/H3</f>
        <v>45</v>
      </c>
      <c r="J3">
        <f>SQRT(12*(1-0.3^2)*I3^2*N3/(4*PI()^2*O3))</f>
        <v>0.94604146249571819</v>
      </c>
      <c r="K3">
        <f t="shared" ref="K3:K12" si="11">H3*I3/200</f>
        <v>1.35</v>
      </c>
      <c r="L3">
        <f t="shared" si="0"/>
        <v>3</v>
      </c>
      <c r="M3">
        <v>2.5</v>
      </c>
      <c r="N3">
        <f t="shared" ref="N3:N12" si="12">D3*C3+(1-D3)*B3</f>
        <v>325</v>
      </c>
      <c r="O3">
        <f>193000*D3+(1-D3)*206000</f>
        <v>203400</v>
      </c>
      <c r="P3">
        <f>H3*I3*H3*4</f>
        <v>6480</v>
      </c>
      <c r="Q3">
        <f>PI()*(M3*H3)^2-PI()*((M3-1)*H3)^2</f>
        <v>452.38934211693021</v>
      </c>
      <c r="R3">
        <f t="shared" ref="R3:R12" si="13">P3+Q3</f>
        <v>6932.3893421169305</v>
      </c>
      <c r="S3">
        <f t="shared" ref="S3:S23" si="14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98937843.544753</v>
      </c>
      <c r="T3">
        <f t="shared" ref="T3:T12" si="15">SQRT(S3/R3)</f>
        <v>119.46474135158041</v>
      </c>
      <c r="U3">
        <f t="shared" ref="U3:U12" si="16">E3/T3</f>
        <v>25.112011845998214</v>
      </c>
      <c r="W3">
        <f t="shared" ref="W3:W12" si="17">U3/PI()*SQRT(N3/O3)</f>
        <v>0.3195198480995689</v>
      </c>
      <c r="X3">
        <f t="shared" ref="X3:X12" si="18">R3*N3/1000</f>
        <v>2253.0265361880024</v>
      </c>
      <c r="Y3">
        <v>1662.1</v>
      </c>
      <c r="Z3">
        <f t="shared" si="1"/>
        <v>0.73771878551070336</v>
      </c>
      <c r="AA3" t="str">
        <f t="shared" ref="AA3:AA44" si="19">"MC-R"&amp;A3</f>
        <v>MC-R2</v>
      </c>
      <c r="AB3">
        <f t="shared" si="2"/>
        <v>490</v>
      </c>
      <c r="AC3">
        <f t="shared" si="3"/>
        <v>517.02058150931066</v>
      </c>
      <c r="AD3">
        <f t="shared" si="4"/>
        <v>519.7880493042129</v>
      </c>
      <c r="AE3">
        <f t="shared" si="5"/>
        <v>325.88344850615891</v>
      </c>
      <c r="AF3">
        <f t="shared" si="6"/>
        <v>473.25094511267991</v>
      </c>
      <c r="AG3">
        <f t="shared" si="7"/>
        <v>2320.0936837157406</v>
      </c>
      <c r="AH3">
        <f t="shared" si="8"/>
        <v>0.71639348517085211</v>
      </c>
    </row>
    <row r="4" spans="1:34" x14ac:dyDescent="0.25">
      <c r="A4">
        <v>3</v>
      </c>
      <c r="B4">
        <v>355</v>
      </c>
      <c r="C4">
        <v>205</v>
      </c>
      <c r="D4">
        <v>0.2</v>
      </c>
      <c r="E4">
        <v>4000</v>
      </c>
      <c r="F4">
        <v>270</v>
      </c>
      <c r="G4">
        <f t="shared" si="9"/>
        <v>300</v>
      </c>
      <c r="H4">
        <v>6</v>
      </c>
      <c r="I4">
        <f t="shared" si="10"/>
        <v>45</v>
      </c>
      <c r="J4">
        <f>SQRT(12*(1-0.3^2)*I4^2*N4/(4*PI()^2*O4))</f>
        <v>0.94604146249571819</v>
      </c>
      <c r="K4">
        <f t="shared" si="11"/>
        <v>1.35</v>
      </c>
      <c r="L4">
        <f t="shared" si="0"/>
        <v>4</v>
      </c>
      <c r="M4">
        <v>2.5</v>
      </c>
      <c r="N4">
        <f t="shared" si="12"/>
        <v>325</v>
      </c>
      <c r="O4">
        <f>193000*D4+(1-D4)*206000</f>
        <v>203400</v>
      </c>
      <c r="P4">
        <f>H4*I4*H4*4</f>
        <v>6480</v>
      </c>
      <c r="Q4">
        <f>PI()*(M4*H4)^2-PI()*((M4-1)*H4)^2</f>
        <v>452.38934211693021</v>
      </c>
      <c r="R4">
        <f t="shared" si="13"/>
        <v>6932.3893421169305</v>
      </c>
      <c r="S4">
        <f t="shared" si="14"/>
        <v>98937843.544753</v>
      </c>
      <c r="T4">
        <f t="shared" si="15"/>
        <v>119.46474135158041</v>
      </c>
      <c r="U4">
        <f t="shared" si="16"/>
        <v>33.482682461330953</v>
      </c>
      <c r="W4">
        <f t="shared" si="17"/>
        <v>0.42602646413275852</v>
      </c>
      <c r="X4">
        <f t="shared" si="18"/>
        <v>2253.0265361880024</v>
      </c>
      <c r="Y4">
        <v>1644.2</v>
      </c>
      <c r="Z4">
        <f t="shared" si="1"/>
        <v>0.72977391681408976</v>
      </c>
      <c r="AA4" t="str">
        <f t="shared" si="19"/>
        <v>MC-R3</v>
      </c>
      <c r="AB4">
        <f t="shared" si="2"/>
        <v>490</v>
      </c>
      <c r="AC4">
        <f t="shared" si="3"/>
        <v>517.02058150931066</v>
      </c>
      <c r="AD4">
        <f t="shared" si="4"/>
        <v>519.7880493042129</v>
      </c>
      <c r="AE4">
        <f t="shared" si="5"/>
        <v>325.88344850615891</v>
      </c>
      <c r="AF4">
        <f t="shared" si="6"/>
        <v>473.25094511267991</v>
      </c>
      <c r="AG4">
        <f t="shared" si="7"/>
        <v>2320.0936837157406</v>
      </c>
      <c r="AH4">
        <f t="shared" si="8"/>
        <v>0.70867827947651463</v>
      </c>
    </row>
    <row r="5" spans="1:34" x14ac:dyDescent="0.25">
      <c r="A5">
        <v>4</v>
      </c>
      <c r="B5">
        <v>355</v>
      </c>
      <c r="C5">
        <v>205</v>
      </c>
      <c r="D5">
        <v>0.2</v>
      </c>
      <c r="E5">
        <v>5000</v>
      </c>
      <c r="F5">
        <v>270</v>
      </c>
      <c r="G5">
        <f t="shared" si="9"/>
        <v>300</v>
      </c>
      <c r="H5">
        <v>6</v>
      </c>
      <c r="I5">
        <f t="shared" si="10"/>
        <v>45</v>
      </c>
      <c r="J5">
        <f t="shared" ref="J5:J12" si="20">SQRT(12*(1-0.3^2)*I5^2*N5/(4*PI()^2*O5))</f>
        <v>0.94604146249571819</v>
      </c>
      <c r="K5">
        <f t="shared" si="11"/>
        <v>1.35</v>
      </c>
      <c r="L5">
        <f t="shared" si="0"/>
        <v>5</v>
      </c>
      <c r="M5">
        <v>2.5</v>
      </c>
      <c r="N5">
        <f t="shared" si="12"/>
        <v>325</v>
      </c>
      <c r="O5">
        <f t="shared" ref="O5:O12" si="21">193000*D5+(1-D5)*206000</f>
        <v>203400</v>
      </c>
      <c r="P5">
        <f t="shared" ref="P5:P12" si="22">H5*I5*H5*4</f>
        <v>6480</v>
      </c>
      <c r="Q5">
        <f t="shared" ref="Q5:Q12" si="23">PI()*(M5*H5)^2-PI()*((M5-1)*H5)^2</f>
        <v>452.38934211693021</v>
      </c>
      <c r="R5">
        <f t="shared" si="13"/>
        <v>6932.3893421169305</v>
      </c>
      <c r="S5">
        <f t="shared" si="14"/>
        <v>98937843.544753</v>
      </c>
      <c r="T5">
        <f t="shared" si="15"/>
        <v>119.46474135158041</v>
      </c>
      <c r="U5">
        <f t="shared" si="16"/>
        <v>41.853353076663687</v>
      </c>
      <c r="W5">
        <f t="shared" si="17"/>
        <v>0.53253308016594814</v>
      </c>
      <c r="X5">
        <f t="shared" si="18"/>
        <v>2253.0265361880024</v>
      </c>
      <c r="Y5">
        <v>1625.4</v>
      </c>
      <c r="Z5">
        <f t="shared" si="1"/>
        <v>0.72142958544557934</v>
      </c>
      <c r="AA5" t="str">
        <f t="shared" si="19"/>
        <v>MC-R4</v>
      </c>
      <c r="AB5">
        <f t="shared" si="2"/>
        <v>490</v>
      </c>
      <c r="AC5">
        <f t="shared" si="3"/>
        <v>517.02058150931066</v>
      </c>
      <c r="AD5">
        <f t="shared" si="4"/>
        <v>519.7880493042129</v>
      </c>
      <c r="AE5">
        <f t="shared" si="5"/>
        <v>325.88344850615891</v>
      </c>
      <c r="AF5">
        <f t="shared" si="6"/>
        <v>473.25094511267991</v>
      </c>
      <c r="AG5">
        <f t="shared" si="7"/>
        <v>2320.0936837157406</v>
      </c>
      <c r="AH5">
        <f t="shared" si="8"/>
        <v>0.70057515841207096</v>
      </c>
    </row>
    <row r="6" spans="1:34" x14ac:dyDescent="0.25">
      <c r="A6">
        <v>5</v>
      </c>
      <c r="B6">
        <v>355</v>
      </c>
      <c r="C6">
        <v>205</v>
      </c>
      <c r="D6">
        <v>0.2</v>
      </c>
      <c r="E6">
        <v>6000</v>
      </c>
      <c r="F6">
        <v>270</v>
      </c>
      <c r="G6">
        <f t="shared" si="9"/>
        <v>300</v>
      </c>
      <c r="H6">
        <v>6</v>
      </c>
      <c r="I6">
        <f t="shared" si="10"/>
        <v>45</v>
      </c>
      <c r="J6">
        <f t="shared" si="20"/>
        <v>0.94604146249571819</v>
      </c>
      <c r="K6">
        <f t="shared" si="11"/>
        <v>1.35</v>
      </c>
      <c r="L6">
        <f t="shared" si="0"/>
        <v>6</v>
      </c>
      <c r="M6">
        <v>2.5</v>
      </c>
      <c r="N6">
        <f t="shared" si="12"/>
        <v>325</v>
      </c>
      <c r="O6">
        <f t="shared" si="21"/>
        <v>203400</v>
      </c>
      <c r="P6">
        <f t="shared" si="22"/>
        <v>6480</v>
      </c>
      <c r="Q6">
        <f t="shared" si="23"/>
        <v>452.38934211693021</v>
      </c>
      <c r="R6">
        <f t="shared" si="13"/>
        <v>6932.3893421169305</v>
      </c>
      <c r="S6">
        <f t="shared" si="14"/>
        <v>98937843.544753</v>
      </c>
      <c r="T6">
        <f t="shared" si="15"/>
        <v>119.46474135158041</v>
      </c>
      <c r="U6">
        <f t="shared" si="16"/>
        <v>50.224023691996429</v>
      </c>
      <c r="W6">
        <f t="shared" si="17"/>
        <v>0.63903969619913781</v>
      </c>
      <c r="X6">
        <f t="shared" si="18"/>
        <v>2253.0265361880024</v>
      </c>
      <c r="Y6">
        <v>1593.8</v>
      </c>
      <c r="Z6">
        <f t="shared" si="1"/>
        <v>0.70740400718787022</v>
      </c>
      <c r="AA6" t="str">
        <f t="shared" si="19"/>
        <v>MC-R5</v>
      </c>
      <c r="AB6">
        <f t="shared" si="2"/>
        <v>490</v>
      </c>
      <c r="AC6">
        <f t="shared" si="3"/>
        <v>517.02058150931066</v>
      </c>
      <c r="AD6">
        <f t="shared" si="4"/>
        <v>519.7880493042129</v>
      </c>
      <c r="AE6">
        <f t="shared" si="5"/>
        <v>325.88344850615891</v>
      </c>
      <c r="AF6">
        <f t="shared" si="6"/>
        <v>473.25094511267991</v>
      </c>
      <c r="AG6">
        <f t="shared" si="7"/>
        <v>2320.0936837157406</v>
      </c>
      <c r="AH6">
        <f t="shared" si="8"/>
        <v>0.68695501875055898</v>
      </c>
    </row>
    <row r="7" spans="1:34" x14ac:dyDescent="0.25">
      <c r="A7">
        <v>6</v>
      </c>
      <c r="B7">
        <v>355</v>
      </c>
      <c r="C7">
        <v>205</v>
      </c>
      <c r="D7">
        <v>0.2</v>
      </c>
      <c r="E7">
        <v>8000</v>
      </c>
      <c r="F7">
        <v>270</v>
      </c>
      <c r="G7">
        <f t="shared" si="9"/>
        <v>300</v>
      </c>
      <c r="H7">
        <v>6</v>
      </c>
      <c r="I7">
        <f t="shared" si="10"/>
        <v>45</v>
      </c>
      <c r="J7">
        <f t="shared" si="20"/>
        <v>0.94604146249571819</v>
      </c>
      <c r="K7">
        <f t="shared" si="11"/>
        <v>1.35</v>
      </c>
      <c r="L7">
        <f t="shared" si="0"/>
        <v>8</v>
      </c>
      <c r="M7">
        <v>2.5</v>
      </c>
      <c r="N7">
        <f t="shared" si="12"/>
        <v>325</v>
      </c>
      <c r="O7">
        <f t="shared" si="21"/>
        <v>203400</v>
      </c>
      <c r="P7">
        <f t="shared" si="22"/>
        <v>6480</v>
      </c>
      <c r="Q7">
        <f t="shared" si="23"/>
        <v>452.38934211693021</v>
      </c>
      <c r="R7">
        <f t="shared" si="13"/>
        <v>6932.3893421169305</v>
      </c>
      <c r="S7">
        <f t="shared" si="14"/>
        <v>98937843.544753</v>
      </c>
      <c r="T7">
        <f t="shared" si="15"/>
        <v>119.46474135158041</v>
      </c>
      <c r="U7">
        <f t="shared" si="16"/>
        <v>66.965364922661905</v>
      </c>
      <c r="W7">
        <f t="shared" si="17"/>
        <v>0.85205292826551704</v>
      </c>
      <c r="X7">
        <f t="shared" si="18"/>
        <v>2253.0265361880024</v>
      </c>
      <c r="Y7">
        <v>1478.1</v>
      </c>
      <c r="Z7">
        <f t="shared" si="1"/>
        <v>0.65605086147847336</v>
      </c>
      <c r="AA7" t="str">
        <f t="shared" si="19"/>
        <v>MC-R6</v>
      </c>
      <c r="AB7">
        <f t="shared" si="2"/>
        <v>490</v>
      </c>
      <c r="AC7">
        <f t="shared" si="3"/>
        <v>517.02058150931066</v>
      </c>
      <c r="AD7">
        <f t="shared" si="4"/>
        <v>519.7880493042129</v>
      </c>
      <c r="AE7">
        <f t="shared" si="5"/>
        <v>325.88344850615891</v>
      </c>
      <c r="AF7">
        <f t="shared" si="6"/>
        <v>473.25094511267991</v>
      </c>
      <c r="AG7">
        <f t="shared" si="7"/>
        <v>2320.0936837157406</v>
      </c>
      <c r="AH7">
        <f t="shared" si="8"/>
        <v>0.63708634283799792</v>
      </c>
    </row>
    <row r="8" spans="1:34" x14ac:dyDescent="0.25">
      <c r="A8">
        <v>7</v>
      </c>
      <c r="B8">
        <v>355</v>
      </c>
      <c r="C8">
        <v>205</v>
      </c>
      <c r="D8">
        <v>0.2</v>
      </c>
      <c r="E8">
        <v>10000</v>
      </c>
      <c r="F8">
        <v>270</v>
      </c>
      <c r="G8">
        <f t="shared" si="9"/>
        <v>300</v>
      </c>
      <c r="H8">
        <v>6</v>
      </c>
      <c r="I8">
        <f t="shared" si="10"/>
        <v>45</v>
      </c>
      <c r="J8">
        <f t="shared" si="20"/>
        <v>0.94604146249571819</v>
      </c>
      <c r="K8">
        <f t="shared" si="11"/>
        <v>1.35</v>
      </c>
      <c r="L8">
        <f t="shared" si="0"/>
        <v>10</v>
      </c>
      <c r="M8">
        <v>2.5</v>
      </c>
      <c r="N8">
        <f t="shared" si="12"/>
        <v>325</v>
      </c>
      <c r="O8">
        <f t="shared" si="21"/>
        <v>203400</v>
      </c>
      <c r="P8">
        <f t="shared" si="22"/>
        <v>6480</v>
      </c>
      <c r="Q8">
        <f t="shared" si="23"/>
        <v>452.38934211693021</v>
      </c>
      <c r="R8">
        <f t="shared" si="13"/>
        <v>6932.3893421169305</v>
      </c>
      <c r="S8">
        <f t="shared" si="14"/>
        <v>98937843.544753</v>
      </c>
      <c r="T8">
        <f t="shared" si="15"/>
        <v>119.46474135158041</v>
      </c>
      <c r="U8">
        <f t="shared" si="16"/>
        <v>83.706706153327374</v>
      </c>
      <c r="W8">
        <f t="shared" si="17"/>
        <v>1.0650661603318963</v>
      </c>
      <c r="X8">
        <f t="shared" si="18"/>
        <v>2253.0265361880024</v>
      </c>
      <c r="Y8">
        <v>1280</v>
      </c>
      <c r="Z8">
        <f t="shared" si="1"/>
        <v>0.56812468891986068</v>
      </c>
      <c r="AA8" t="str">
        <f t="shared" si="19"/>
        <v>MC-R7</v>
      </c>
      <c r="AB8">
        <f t="shared" si="2"/>
        <v>490</v>
      </c>
      <c r="AC8">
        <f t="shared" si="3"/>
        <v>517.02058150931066</v>
      </c>
      <c r="AD8">
        <f t="shared" si="4"/>
        <v>519.7880493042129</v>
      </c>
      <c r="AE8">
        <f t="shared" si="5"/>
        <v>325.88344850615891</v>
      </c>
      <c r="AF8">
        <f t="shared" si="6"/>
        <v>473.25094511267991</v>
      </c>
      <c r="AG8">
        <f t="shared" si="7"/>
        <v>2320.0936837157406</v>
      </c>
      <c r="AH8">
        <f t="shared" si="8"/>
        <v>0.55170185970681107</v>
      </c>
    </row>
    <row r="9" spans="1:34" x14ac:dyDescent="0.25">
      <c r="A9">
        <v>8</v>
      </c>
      <c r="B9">
        <v>355</v>
      </c>
      <c r="C9">
        <v>205</v>
      </c>
      <c r="D9">
        <v>0.2</v>
      </c>
      <c r="E9">
        <v>12000</v>
      </c>
      <c r="F9">
        <v>270</v>
      </c>
      <c r="G9">
        <f t="shared" si="9"/>
        <v>300</v>
      </c>
      <c r="H9">
        <v>6</v>
      </c>
      <c r="I9">
        <f t="shared" si="10"/>
        <v>45</v>
      </c>
      <c r="J9">
        <f t="shared" si="20"/>
        <v>0.94604146249571819</v>
      </c>
      <c r="K9">
        <f t="shared" si="11"/>
        <v>1.35</v>
      </c>
      <c r="L9">
        <f t="shared" si="0"/>
        <v>12</v>
      </c>
      <c r="M9">
        <v>2.5</v>
      </c>
      <c r="N9">
        <f t="shared" si="12"/>
        <v>325</v>
      </c>
      <c r="O9">
        <f t="shared" si="21"/>
        <v>203400</v>
      </c>
      <c r="P9">
        <f t="shared" si="22"/>
        <v>6480</v>
      </c>
      <c r="Q9">
        <f t="shared" si="23"/>
        <v>452.38934211693021</v>
      </c>
      <c r="R9">
        <f t="shared" si="13"/>
        <v>6932.3893421169305</v>
      </c>
      <c r="S9">
        <f t="shared" si="14"/>
        <v>98937843.544753</v>
      </c>
      <c r="T9">
        <f t="shared" si="15"/>
        <v>119.46474135158041</v>
      </c>
      <c r="U9">
        <f t="shared" si="16"/>
        <v>100.44804738399286</v>
      </c>
      <c r="W9">
        <f t="shared" si="17"/>
        <v>1.2780793923982756</v>
      </c>
      <c r="X9">
        <f t="shared" si="18"/>
        <v>2253.0265361880024</v>
      </c>
      <c r="Y9">
        <v>1055.0999999999999</v>
      </c>
      <c r="Z9">
        <f t="shared" si="1"/>
        <v>0.46830340568698819</v>
      </c>
      <c r="AA9" t="str">
        <f t="shared" si="19"/>
        <v>MC-R8</v>
      </c>
      <c r="AB9">
        <f t="shared" si="2"/>
        <v>490</v>
      </c>
      <c r="AC9">
        <f t="shared" si="3"/>
        <v>517.02058150931066</v>
      </c>
      <c r="AD9">
        <f t="shared" si="4"/>
        <v>519.7880493042129</v>
      </c>
      <c r="AE9">
        <f t="shared" si="5"/>
        <v>325.88344850615891</v>
      </c>
      <c r="AF9">
        <f t="shared" si="6"/>
        <v>473.25094511267991</v>
      </c>
      <c r="AG9">
        <f t="shared" si="7"/>
        <v>2320.0936837157406</v>
      </c>
      <c r="AH9">
        <f t="shared" si="8"/>
        <v>0.45476611888801277</v>
      </c>
    </row>
    <row r="10" spans="1:34" x14ac:dyDescent="0.25">
      <c r="A10">
        <v>9</v>
      </c>
      <c r="B10">
        <v>355</v>
      </c>
      <c r="C10">
        <v>205</v>
      </c>
      <c r="D10">
        <v>0.2</v>
      </c>
      <c r="E10">
        <v>14000</v>
      </c>
      <c r="F10">
        <v>270</v>
      </c>
      <c r="G10">
        <f t="shared" si="9"/>
        <v>300</v>
      </c>
      <c r="H10">
        <v>6</v>
      </c>
      <c r="I10">
        <f t="shared" si="10"/>
        <v>45</v>
      </c>
      <c r="J10">
        <f t="shared" si="20"/>
        <v>0.94604146249571819</v>
      </c>
      <c r="K10">
        <f t="shared" si="11"/>
        <v>1.35</v>
      </c>
      <c r="L10">
        <f t="shared" si="0"/>
        <v>14</v>
      </c>
      <c r="M10">
        <v>2.5</v>
      </c>
      <c r="N10">
        <f t="shared" si="12"/>
        <v>325</v>
      </c>
      <c r="O10">
        <f t="shared" si="21"/>
        <v>203400</v>
      </c>
      <c r="P10">
        <f t="shared" si="22"/>
        <v>6480</v>
      </c>
      <c r="Q10">
        <f t="shared" si="23"/>
        <v>452.38934211693021</v>
      </c>
      <c r="R10">
        <f t="shared" si="13"/>
        <v>6932.3893421169305</v>
      </c>
      <c r="S10">
        <f t="shared" si="14"/>
        <v>98937843.544753</v>
      </c>
      <c r="T10">
        <f t="shared" si="15"/>
        <v>119.46474135158041</v>
      </c>
      <c r="U10">
        <f t="shared" si="16"/>
        <v>117.18938861465833</v>
      </c>
      <c r="W10">
        <f t="shared" si="17"/>
        <v>1.4910926244646545</v>
      </c>
      <c r="X10">
        <f t="shared" si="18"/>
        <v>2253.0265361880024</v>
      </c>
      <c r="Y10">
        <v>874.3</v>
      </c>
      <c r="Z10">
        <f t="shared" si="1"/>
        <v>0.38805579337705792</v>
      </c>
      <c r="AA10" t="str">
        <f t="shared" si="19"/>
        <v>MC-R9</v>
      </c>
      <c r="AB10">
        <f t="shared" si="2"/>
        <v>490</v>
      </c>
      <c r="AC10">
        <f t="shared" si="3"/>
        <v>517.02058150931066</v>
      </c>
      <c r="AD10">
        <f t="shared" si="4"/>
        <v>519.7880493042129</v>
      </c>
      <c r="AE10">
        <f t="shared" si="5"/>
        <v>325.88344850615891</v>
      </c>
      <c r="AF10">
        <f t="shared" si="6"/>
        <v>473.25094511267991</v>
      </c>
      <c r="AG10">
        <f t="shared" si="7"/>
        <v>2320.0936837157406</v>
      </c>
      <c r="AH10">
        <f t="shared" si="8"/>
        <v>0.37683823120442572</v>
      </c>
    </row>
    <row r="11" spans="1:34" x14ac:dyDescent="0.25">
      <c r="A11">
        <v>10</v>
      </c>
      <c r="B11">
        <v>355</v>
      </c>
      <c r="C11">
        <v>205</v>
      </c>
      <c r="D11">
        <v>0.2</v>
      </c>
      <c r="E11">
        <v>16000</v>
      </c>
      <c r="F11">
        <v>270</v>
      </c>
      <c r="G11">
        <f t="shared" si="9"/>
        <v>300</v>
      </c>
      <c r="H11">
        <v>6</v>
      </c>
      <c r="I11">
        <f t="shared" si="10"/>
        <v>45</v>
      </c>
      <c r="J11">
        <f t="shared" si="20"/>
        <v>0.94604146249571819</v>
      </c>
      <c r="K11">
        <f t="shared" si="11"/>
        <v>1.35</v>
      </c>
      <c r="L11">
        <f t="shared" si="0"/>
        <v>16</v>
      </c>
      <c r="M11">
        <v>2.5</v>
      </c>
      <c r="N11">
        <f t="shared" si="12"/>
        <v>325</v>
      </c>
      <c r="O11">
        <f t="shared" si="21"/>
        <v>203400</v>
      </c>
      <c r="P11">
        <f t="shared" si="22"/>
        <v>6480</v>
      </c>
      <c r="Q11">
        <f t="shared" si="23"/>
        <v>452.38934211693021</v>
      </c>
      <c r="R11">
        <f t="shared" si="13"/>
        <v>6932.3893421169305</v>
      </c>
      <c r="S11">
        <f t="shared" si="14"/>
        <v>98937843.544753</v>
      </c>
      <c r="T11">
        <f t="shared" si="15"/>
        <v>119.46474135158041</v>
      </c>
      <c r="U11">
        <f t="shared" si="16"/>
        <v>133.93072984532381</v>
      </c>
      <c r="W11">
        <f t="shared" si="17"/>
        <v>1.7041058565310341</v>
      </c>
      <c r="X11">
        <f t="shared" si="18"/>
        <v>2253.0265361880024</v>
      </c>
      <c r="Y11">
        <v>692.2</v>
      </c>
      <c r="Z11">
        <f t="shared" si="1"/>
        <v>0.30723117942994338</v>
      </c>
      <c r="AA11" t="str">
        <f t="shared" si="19"/>
        <v>MC-R10</v>
      </c>
      <c r="AB11">
        <f t="shared" si="2"/>
        <v>490</v>
      </c>
      <c r="AC11">
        <f t="shared" si="3"/>
        <v>517.02058150931066</v>
      </c>
      <c r="AD11">
        <f t="shared" si="4"/>
        <v>519.7880493042129</v>
      </c>
      <c r="AE11">
        <f t="shared" si="5"/>
        <v>325.88344850615891</v>
      </c>
      <c r="AF11">
        <f t="shared" si="6"/>
        <v>473.25094511267991</v>
      </c>
      <c r="AG11">
        <f t="shared" si="7"/>
        <v>2320.0936837157406</v>
      </c>
      <c r="AH11">
        <f t="shared" si="8"/>
        <v>0.29835002131957394</v>
      </c>
    </row>
    <row r="12" spans="1:34" x14ac:dyDescent="0.25">
      <c r="A12">
        <v>11</v>
      </c>
      <c r="B12">
        <v>355</v>
      </c>
      <c r="C12">
        <v>205</v>
      </c>
      <c r="D12">
        <v>0.2</v>
      </c>
      <c r="E12">
        <v>18000</v>
      </c>
      <c r="F12">
        <v>270</v>
      </c>
      <c r="G12">
        <f t="shared" si="9"/>
        <v>300</v>
      </c>
      <c r="H12">
        <v>6</v>
      </c>
      <c r="I12">
        <f t="shared" si="10"/>
        <v>45</v>
      </c>
      <c r="J12">
        <f t="shared" si="20"/>
        <v>0.94604146249571819</v>
      </c>
      <c r="K12">
        <f t="shared" si="11"/>
        <v>1.35</v>
      </c>
      <c r="L12">
        <f t="shared" si="0"/>
        <v>18</v>
      </c>
      <c r="M12">
        <v>2.5</v>
      </c>
      <c r="N12">
        <f t="shared" si="12"/>
        <v>325</v>
      </c>
      <c r="O12">
        <f t="shared" si="21"/>
        <v>203400</v>
      </c>
      <c r="P12">
        <f t="shared" si="22"/>
        <v>6480</v>
      </c>
      <c r="Q12">
        <f t="shared" si="23"/>
        <v>452.38934211693021</v>
      </c>
      <c r="R12">
        <f t="shared" si="13"/>
        <v>6932.3893421169305</v>
      </c>
      <c r="S12">
        <f t="shared" si="14"/>
        <v>98937843.544753</v>
      </c>
      <c r="T12">
        <f t="shared" si="15"/>
        <v>119.46474135158041</v>
      </c>
      <c r="U12">
        <f t="shared" si="16"/>
        <v>150.67207107598929</v>
      </c>
      <c r="W12">
        <f t="shared" si="17"/>
        <v>1.9171190885974134</v>
      </c>
      <c r="X12">
        <f t="shared" si="18"/>
        <v>2253.0265361880024</v>
      </c>
      <c r="Y12">
        <v>553.9</v>
      </c>
      <c r="Z12">
        <f t="shared" si="1"/>
        <v>0.24584708218180532</v>
      </c>
      <c r="AA12" t="str">
        <f t="shared" si="19"/>
        <v>MC-R11</v>
      </c>
      <c r="AB12">
        <f t="shared" si="2"/>
        <v>490</v>
      </c>
      <c r="AC12">
        <f t="shared" si="3"/>
        <v>517.02058150931066</v>
      </c>
      <c r="AD12">
        <f t="shared" si="4"/>
        <v>519.7880493042129</v>
      </c>
      <c r="AE12">
        <f t="shared" si="5"/>
        <v>325.88344850615891</v>
      </c>
      <c r="AF12">
        <f t="shared" si="6"/>
        <v>473.25094511267991</v>
      </c>
      <c r="AG12">
        <f t="shared" si="7"/>
        <v>2320.0936837157406</v>
      </c>
      <c r="AH12">
        <f t="shared" si="8"/>
        <v>0.23874035944656458</v>
      </c>
    </row>
    <row r="13" spans="1:34" x14ac:dyDescent="0.25">
      <c r="A13">
        <v>12</v>
      </c>
      <c r="B13">
        <v>355</v>
      </c>
      <c r="C13">
        <v>205</v>
      </c>
      <c r="D13">
        <v>0.8</v>
      </c>
      <c r="E13">
        <v>2000</v>
      </c>
      <c r="F13">
        <v>270</v>
      </c>
      <c r="G13">
        <f>F13+2*H13*M13</f>
        <v>300</v>
      </c>
      <c r="H13">
        <v>6</v>
      </c>
      <c r="I13">
        <f t="shared" si="10"/>
        <v>45</v>
      </c>
      <c r="J13">
        <f>SQRT(12*(1-0.3^2)*I13^2*N13/(4*PI()^2*O13))</f>
        <v>0.8203392106811157</v>
      </c>
      <c r="K13">
        <f>H13*I13/200</f>
        <v>1.35</v>
      </c>
      <c r="L13">
        <f t="shared" ref="L13:L34" si="24">E13/1000</f>
        <v>2</v>
      </c>
      <c r="M13">
        <v>2.5</v>
      </c>
      <c r="N13">
        <f>D13*C13+(1-D13)*B13</f>
        <v>235</v>
      </c>
      <c r="O13">
        <f>193000*D13+(1-D13)*206000</f>
        <v>195600</v>
      </c>
      <c r="P13">
        <f>H13*I13*H13*4</f>
        <v>6480</v>
      </c>
      <c r="Q13">
        <f>PI()*(M13*H13)^2-PI()*((M13-1)*H13)^2</f>
        <v>452.38934211693021</v>
      </c>
      <c r="R13">
        <f>P13+Q13</f>
        <v>6932.3893421169305</v>
      </c>
      <c r="S13">
        <f t="shared" si="14"/>
        <v>98937843.544753</v>
      </c>
      <c r="T13">
        <f>SQRT(S13/R13)</f>
        <v>119.46474135158041</v>
      </c>
      <c r="U13">
        <f>E13/T13</f>
        <v>16.741341230665476</v>
      </c>
      <c r="W13">
        <f>U13/PI()*SQRT(N13/O13)</f>
        <v>0.18470977603559083</v>
      </c>
      <c r="X13">
        <f>R13*N13/1000</f>
        <v>1629.1114953974786</v>
      </c>
      <c r="Y13">
        <v>1303.5999999999999</v>
      </c>
      <c r="Z13">
        <f t="shared" si="1"/>
        <v>0.80019078109932629</v>
      </c>
      <c r="AA13" t="str">
        <f t="shared" si="19"/>
        <v>MC-R12</v>
      </c>
      <c r="AB13">
        <f t="shared" si="2"/>
        <v>490</v>
      </c>
      <c r="AC13">
        <f t="shared" si="3"/>
        <v>517.02058150931066</v>
      </c>
      <c r="AD13">
        <f t="shared" si="4"/>
        <v>519.7880493042129</v>
      </c>
      <c r="AE13">
        <f t="shared" si="5"/>
        <v>325.88344850615891</v>
      </c>
      <c r="AF13">
        <f t="shared" si="6"/>
        <v>356.90818463384755</v>
      </c>
      <c r="AG13">
        <f t="shared" si="7"/>
        <v>1684.2614588426543</v>
      </c>
      <c r="AH13">
        <f t="shared" si="8"/>
        <v>0.77398909365044355</v>
      </c>
    </row>
    <row r="14" spans="1:34" x14ac:dyDescent="0.25">
      <c r="A14">
        <v>13</v>
      </c>
      <c r="B14">
        <v>355</v>
      </c>
      <c r="C14">
        <v>205</v>
      </c>
      <c r="D14">
        <v>0.8</v>
      </c>
      <c r="E14">
        <v>3000</v>
      </c>
      <c r="F14">
        <v>270</v>
      </c>
      <c r="G14">
        <f t="shared" ref="G14:G23" si="25">F14+2*H14*M14</f>
        <v>300</v>
      </c>
      <c r="H14">
        <v>6</v>
      </c>
      <c r="I14">
        <f t="shared" si="10"/>
        <v>45</v>
      </c>
      <c r="J14">
        <f>SQRT(12*(1-0.3^2)*I14^2*N14/(4*PI()^2*O14))</f>
        <v>0.8203392106811157</v>
      </c>
      <c r="K14">
        <f t="shared" ref="K14:K23" si="26">H14*I14/200</f>
        <v>1.35</v>
      </c>
      <c r="L14">
        <f t="shared" si="24"/>
        <v>3</v>
      </c>
      <c r="M14">
        <v>2.5</v>
      </c>
      <c r="N14">
        <f t="shared" ref="N14:N23" si="27">D14*C14+(1-D14)*B14</f>
        <v>235</v>
      </c>
      <c r="O14">
        <f>193000*D14+(1-D14)*206000</f>
        <v>195600</v>
      </c>
      <c r="P14">
        <f>H14*I14*H14*4</f>
        <v>6480</v>
      </c>
      <c r="Q14">
        <f>PI()*(M14*H14)^2-PI()*((M14-1)*H14)^2</f>
        <v>452.38934211693021</v>
      </c>
      <c r="R14">
        <f t="shared" ref="R14:R23" si="28">P14+Q14</f>
        <v>6932.3893421169305</v>
      </c>
      <c r="S14">
        <f t="shared" si="14"/>
        <v>98937843.544753</v>
      </c>
      <c r="T14">
        <f t="shared" ref="T14:T23" si="29">SQRT(S14/R14)</f>
        <v>119.46474135158041</v>
      </c>
      <c r="U14">
        <f t="shared" ref="U14:U23" si="30">E14/T14</f>
        <v>25.112011845998214</v>
      </c>
      <c r="W14">
        <f t="shared" ref="W14:W23" si="31">U14/PI()*SQRT(N14/O14)</f>
        <v>0.27706466405338626</v>
      </c>
      <c r="X14">
        <f t="shared" ref="X14:X23" si="32">R14*N14/1000</f>
        <v>1629.1114953974786</v>
      </c>
      <c r="Y14">
        <v>1307.3</v>
      </c>
      <c r="Z14">
        <f t="shared" si="1"/>
        <v>0.80246195775632811</v>
      </c>
      <c r="AA14" t="str">
        <f t="shared" si="19"/>
        <v>MC-R13</v>
      </c>
      <c r="AB14">
        <f t="shared" si="2"/>
        <v>490</v>
      </c>
      <c r="AC14">
        <f t="shared" si="3"/>
        <v>517.02058150931066</v>
      </c>
      <c r="AD14">
        <f t="shared" si="4"/>
        <v>519.7880493042129</v>
      </c>
      <c r="AE14">
        <f t="shared" si="5"/>
        <v>325.88344850615891</v>
      </c>
      <c r="AF14">
        <f t="shared" si="6"/>
        <v>356.90818463384755</v>
      </c>
      <c r="AG14">
        <f t="shared" si="7"/>
        <v>1684.2614588426543</v>
      </c>
      <c r="AH14">
        <f t="shared" si="8"/>
        <v>0.7761859022163432</v>
      </c>
    </row>
    <row r="15" spans="1:34" x14ac:dyDescent="0.25">
      <c r="A15">
        <v>14</v>
      </c>
      <c r="B15">
        <v>355</v>
      </c>
      <c r="C15">
        <v>205</v>
      </c>
      <c r="D15">
        <v>0.8</v>
      </c>
      <c r="E15">
        <v>4000</v>
      </c>
      <c r="F15">
        <v>270</v>
      </c>
      <c r="G15">
        <f t="shared" si="25"/>
        <v>300</v>
      </c>
      <c r="H15">
        <v>6</v>
      </c>
      <c r="I15">
        <f t="shared" si="10"/>
        <v>45</v>
      </c>
      <c r="J15">
        <f>SQRT(12*(1-0.3^2)*I15^2*N15/(4*PI()^2*O15))</f>
        <v>0.8203392106811157</v>
      </c>
      <c r="K15">
        <f t="shared" si="26"/>
        <v>1.35</v>
      </c>
      <c r="L15">
        <f t="shared" si="24"/>
        <v>4</v>
      </c>
      <c r="M15">
        <v>2.5</v>
      </c>
      <c r="N15">
        <f t="shared" si="27"/>
        <v>235</v>
      </c>
      <c r="O15">
        <f>193000*D15+(1-D15)*206000</f>
        <v>195600</v>
      </c>
      <c r="P15">
        <f>H15*I15*H15*4</f>
        <v>6480</v>
      </c>
      <c r="Q15">
        <f>PI()*(M15*H15)^2-PI()*((M15-1)*H15)^2</f>
        <v>452.38934211693021</v>
      </c>
      <c r="R15">
        <f t="shared" si="28"/>
        <v>6932.3893421169305</v>
      </c>
      <c r="S15">
        <f t="shared" si="14"/>
        <v>98937843.544753</v>
      </c>
      <c r="T15">
        <f t="shared" si="29"/>
        <v>119.46474135158041</v>
      </c>
      <c r="U15">
        <f t="shared" si="30"/>
        <v>33.482682461330953</v>
      </c>
      <c r="W15">
        <f t="shared" si="31"/>
        <v>0.36941955207118166</v>
      </c>
      <c r="X15">
        <f t="shared" si="32"/>
        <v>1629.1114953974786</v>
      </c>
      <c r="Y15">
        <v>1294.8</v>
      </c>
      <c r="Z15">
        <f t="shared" si="1"/>
        <v>0.79478906364483559</v>
      </c>
      <c r="AA15" t="str">
        <f t="shared" si="19"/>
        <v>MC-R14</v>
      </c>
      <c r="AB15">
        <f t="shared" si="2"/>
        <v>490</v>
      </c>
      <c r="AC15">
        <f t="shared" si="3"/>
        <v>517.02058150931066</v>
      </c>
      <c r="AD15">
        <f t="shared" si="4"/>
        <v>519.7880493042129</v>
      </c>
      <c r="AE15">
        <f t="shared" si="5"/>
        <v>325.88344850615891</v>
      </c>
      <c r="AF15">
        <f t="shared" si="6"/>
        <v>356.90818463384755</v>
      </c>
      <c r="AG15">
        <f t="shared" si="7"/>
        <v>1684.2614588426543</v>
      </c>
      <c r="AH15">
        <f t="shared" si="8"/>
        <v>0.7687642516558717</v>
      </c>
    </row>
    <row r="16" spans="1:34" x14ac:dyDescent="0.25">
      <c r="A16">
        <v>15</v>
      </c>
      <c r="B16">
        <v>355</v>
      </c>
      <c r="C16">
        <v>205</v>
      </c>
      <c r="D16">
        <v>0.8</v>
      </c>
      <c r="E16">
        <v>5000</v>
      </c>
      <c r="F16">
        <v>270</v>
      </c>
      <c r="G16">
        <f t="shared" si="25"/>
        <v>300</v>
      </c>
      <c r="H16">
        <v>6</v>
      </c>
      <c r="I16">
        <f t="shared" si="10"/>
        <v>45</v>
      </c>
      <c r="J16">
        <f t="shared" ref="J16:J23" si="33">SQRT(12*(1-0.3^2)*I16^2*N16/(4*PI()^2*O16))</f>
        <v>0.8203392106811157</v>
      </c>
      <c r="K16">
        <f t="shared" si="26"/>
        <v>1.35</v>
      </c>
      <c r="L16">
        <f t="shared" si="24"/>
        <v>5</v>
      </c>
      <c r="M16">
        <v>2.5</v>
      </c>
      <c r="N16">
        <f t="shared" si="27"/>
        <v>235</v>
      </c>
      <c r="O16">
        <f t="shared" ref="O16:O23" si="34">193000*D16+(1-D16)*206000</f>
        <v>195600</v>
      </c>
      <c r="P16">
        <f t="shared" ref="P16:P23" si="35">H16*I16*H16*4</f>
        <v>6480</v>
      </c>
      <c r="Q16">
        <f t="shared" ref="Q16:Q23" si="36">PI()*(M16*H16)^2-PI()*((M16-1)*H16)^2</f>
        <v>452.38934211693021</v>
      </c>
      <c r="R16">
        <f t="shared" si="28"/>
        <v>6932.3893421169305</v>
      </c>
      <c r="S16">
        <f t="shared" si="14"/>
        <v>98937843.544753</v>
      </c>
      <c r="T16">
        <f t="shared" si="29"/>
        <v>119.46474135158041</v>
      </c>
      <c r="U16">
        <f t="shared" si="30"/>
        <v>41.853353076663687</v>
      </c>
      <c r="W16">
        <f t="shared" si="31"/>
        <v>0.461774440088977</v>
      </c>
      <c r="X16">
        <f t="shared" si="32"/>
        <v>1629.1114953974786</v>
      </c>
      <c r="Y16">
        <v>1280.9000000000001</v>
      </c>
      <c r="Z16">
        <f t="shared" si="1"/>
        <v>0.78625680539285603</v>
      </c>
      <c r="AA16" t="str">
        <f t="shared" si="19"/>
        <v>MC-R15</v>
      </c>
      <c r="AB16">
        <f t="shared" si="2"/>
        <v>490</v>
      </c>
      <c r="AC16">
        <f t="shared" si="3"/>
        <v>517.02058150931066</v>
      </c>
      <c r="AD16">
        <f t="shared" si="4"/>
        <v>519.7880493042129</v>
      </c>
      <c r="AE16">
        <f t="shared" si="5"/>
        <v>325.88344850615891</v>
      </c>
      <c r="AF16">
        <f t="shared" si="6"/>
        <v>356.90818463384755</v>
      </c>
      <c r="AG16">
        <f t="shared" si="7"/>
        <v>1684.2614588426543</v>
      </c>
      <c r="AH16">
        <f t="shared" si="8"/>
        <v>0.76051137623262766</v>
      </c>
    </row>
    <row r="17" spans="1:34" x14ac:dyDescent="0.25">
      <c r="A17">
        <v>16</v>
      </c>
      <c r="B17">
        <v>355</v>
      </c>
      <c r="C17">
        <v>205</v>
      </c>
      <c r="D17">
        <v>0.8</v>
      </c>
      <c r="E17">
        <v>6000</v>
      </c>
      <c r="F17">
        <v>270</v>
      </c>
      <c r="G17">
        <f t="shared" si="25"/>
        <v>300</v>
      </c>
      <c r="H17">
        <v>6</v>
      </c>
      <c r="I17">
        <f t="shared" si="10"/>
        <v>45</v>
      </c>
      <c r="J17">
        <f t="shared" si="33"/>
        <v>0.8203392106811157</v>
      </c>
      <c r="K17">
        <f t="shared" si="26"/>
        <v>1.35</v>
      </c>
      <c r="L17">
        <f t="shared" si="24"/>
        <v>6</v>
      </c>
      <c r="M17">
        <v>2.5</v>
      </c>
      <c r="N17">
        <f t="shared" si="27"/>
        <v>235</v>
      </c>
      <c r="O17">
        <f t="shared" si="34"/>
        <v>195600</v>
      </c>
      <c r="P17">
        <f t="shared" si="35"/>
        <v>6480</v>
      </c>
      <c r="Q17">
        <f t="shared" si="36"/>
        <v>452.38934211693021</v>
      </c>
      <c r="R17">
        <f t="shared" si="28"/>
        <v>6932.3893421169305</v>
      </c>
      <c r="S17">
        <f t="shared" si="14"/>
        <v>98937843.544753</v>
      </c>
      <c r="T17">
        <f t="shared" si="29"/>
        <v>119.46474135158041</v>
      </c>
      <c r="U17">
        <f t="shared" si="30"/>
        <v>50.224023691996429</v>
      </c>
      <c r="W17">
        <f t="shared" si="31"/>
        <v>0.55412932810677251</v>
      </c>
      <c r="X17">
        <f t="shared" si="32"/>
        <v>1629.1114953974786</v>
      </c>
      <c r="Y17">
        <v>1257.2</v>
      </c>
      <c r="Z17">
        <f t="shared" si="1"/>
        <v>0.7717089981574663</v>
      </c>
      <c r="AA17" t="str">
        <f t="shared" si="19"/>
        <v>MC-R16</v>
      </c>
      <c r="AB17">
        <f t="shared" si="2"/>
        <v>490</v>
      </c>
      <c r="AC17">
        <f t="shared" si="3"/>
        <v>517.02058150931066</v>
      </c>
      <c r="AD17">
        <f t="shared" si="4"/>
        <v>519.7880493042129</v>
      </c>
      <c r="AE17">
        <f t="shared" si="5"/>
        <v>325.88344850615891</v>
      </c>
      <c r="AF17">
        <f t="shared" si="6"/>
        <v>356.90818463384755</v>
      </c>
      <c r="AG17">
        <f t="shared" si="7"/>
        <v>1684.2614588426543</v>
      </c>
      <c r="AH17">
        <f t="shared" si="8"/>
        <v>0.74643992676997373</v>
      </c>
    </row>
    <row r="18" spans="1:34" x14ac:dyDescent="0.25">
      <c r="A18">
        <v>17</v>
      </c>
      <c r="B18">
        <v>355</v>
      </c>
      <c r="C18">
        <v>205</v>
      </c>
      <c r="D18">
        <v>0.8</v>
      </c>
      <c r="E18">
        <v>8000</v>
      </c>
      <c r="F18">
        <v>270</v>
      </c>
      <c r="G18">
        <f t="shared" si="25"/>
        <v>300</v>
      </c>
      <c r="H18">
        <v>6</v>
      </c>
      <c r="I18">
        <f t="shared" si="10"/>
        <v>45</v>
      </c>
      <c r="J18">
        <f t="shared" si="33"/>
        <v>0.8203392106811157</v>
      </c>
      <c r="K18">
        <f t="shared" si="26"/>
        <v>1.35</v>
      </c>
      <c r="L18">
        <f t="shared" si="24"/>
        <v>8</v>
      </c>
      <c r="M18">
        <v>2.5</v>
      </c>
      <c r="N18">
        <f t="shared" si="27"/>
        <v>235</v>
      </c>
      <c r="O18">
        <f t="shared" si="34"/>
        <v>195600</v>
      </c>
      <c r="P18">
        <f t="shared" si="35"/>
        <v>6480</v>
      </c>
      <c r="Q18">
        <f t="shared" si="36"/>
        <v>452.38934211693021</v>
      </c>
      <c r="R18">
        <f t="shared" si="28"/>
        <v>6932.3893421169305</v>
      </c>
      <c r="S18">
        <f t="shared" si="14"/>
        <v>98937843.544753</v>
      </c>
      <c r="T18">
        <f t="shared" si="29"/>
        <v>119.46474135158041</v>
      </c>
      <c r="U18">
        <f t="shared" si="30"/>
        <v>66.965364922661905</v>
      </c>
      <c r="W18">
        <f t="shared" si="31"/>
        <v>0.73883910414236331</v>
      </c>
      <c r="X18">
        <f t="shared" si="32"/>
        <v>1629.1114953974786</v>
      </c>
      <c r="Y18">
        <v>1191.3</v>
      </c>
      <c r="Z18">
        <f t="shared" si="1"/>
        <v>0.73125750040167803</v>
      </c>
      <c r="AA18" t="str">
        <f t="shared" si="19"/>
        <v>MC-R17</v>
      </c>
      <c r="AB18">
        <f t="shared" si="2"/>
        <v>490</v>
      </c>
      <c r="AC18">
        <f t="shared" si="3"/>
        <v>517.02058150931066</v>
      </c>
      <c r="AD18">
        <f t="shared" si="4"/>
        <v>519.7880493042129</v>
      </c>
      <c r="AE18">
        <f t="shared" si="5"/>
        <v>325.88344850615891</v>
      </c>
      <c r="AF18">
        <f t="shared" si="6"/>
        <v>356.90818463384755</v>
      </c>
      <c r="AG18">
        <f t="shared" si="7"/>
        <v>1684.2614588426543</v>
      </c>
      <c r="AH18">
        <f t="shared" si="8"/>
        <v>0.70731298501516837</v>
      </c>
    </row>
    <row r="19" spans="1:34" x14ac:dyDescent="0.25">
      <c r="A19">
        <v>18</v>
      </c>
      <c r="B19">
        <v>355</v>
      </c>
      <c r="C19">
        <v>205</v>
      </c>
      <c r="D19">
        <v>0.8</v>
      </c>
      <c r="E19">
        <v>10000</v>
      </c>
      <c r="F19">
        <v>270</v>
      </c>
      <c r="G19">
        <f t="shared" si="25"/>
        <v>300</v>
      </c>
      <c r="H19">
        <v>6</v>
      </c>
      <c r="I19">
        <f t="shared" si="10"/>
        <v>45</v>
      </c>
      <c r="J19">
        <f t="shared" si="33"/>
        <v>0.8203392106811157</v>
      </c>
      <c r="K19">
        <f t="shared" si="26"/>
        <v>1.35</v>
      </c>
      <c r="L19">
        <f t="shared" si="24"/>
        <v>10</v>
      </c>
      <c r="M19">
        <v>2.5</v>
      </c>
      <c r="N19">
        <f t="shared" si="27"/>
        <v>235</v>
      </c>
      <c r="O19">
        <f t="shared" si="34"/>
        <v>195600</v>
      </c>
      <c r="P19">
        <f t="shared" si="35"/>
        <v>6480</v>
      </c>
      <c r="Q19">
        <f t="shared" si="36"/>
        <v>452.38934211693021</v>
      </c>
      <c r="R19">
        <f t="shared" si="28"/>
        <v>6932.3893421169305</v>
      </c>
      <c r="S19">
        <f t="shared" si="14"/>
        <v>98937843.544753</v>
      </c>
      <c r="T19">
        <f t="shared" si="29"/>
        <v>119.46474135158041</v>
      </c>
      <c r="U19">
        <f t="shared" si="30"/>
        <v>83.706706153327374</v>
      </c>
      <c r="W19">
        <f t="shared" si="31"/>
        <v>0.923548880177954</v>
      </c>
      <c r="X19">
        <f t="shared" si="32"/>
        <v>1629.1114953974786</v>
      </c>
      <c r="Y19">
        <v>1068.7</v>
      </c>
      <c r="Z19">
        <f t="shared" si="1"/>
        <v>0.65600175495615998</v>
      </c>
      <c r="AA19" t="str">
        <f t="shared" si="19"/>
        <v>MC-R18</v>
      </c>
      <c r="AB19">
        <f t="shared" si="2"/>
        <v>490</v>
      </c>
      <c r="AC19">
        <f t="shared" si="3"/>
        <v>517.02058150931066</v>
      </c>
      <c r="AD19">
        <f t="shared" si="4"/>
        <v>519.7880493042129</v>
      </c>
      <c r="AE19">
        <f t="shared" si="5"/>
        <v>325.88344850615891</v>
      </c>
      <c r="AF19">
        <f t="shared" si="6"/>
        <v>356.90818463384755</v>
      </c>
      <c r="AG19">
        <f t="shared" si="7"/>
        <v>1684.2614588426543</v>
      </c>
      <c r="AH19">
        <f t="shared" si="8"/>
        <v>0.63452143631806468</v>
      </c>
    </row>
    <row r="20" spans="1:34" x14ac:dyDescent="0.25">
      <c r="A20">
        <v>19</v>
      </c>
      <c r="B20">
        <v>355</v>
      </c>
      <c r="C20">
        <v>205</v>
      </c>
      <c r="D20">
        <v>0.8</v>
      </c>
      <c r="E20">
        <v>12000</v>
      </c>
      <c r="F20">
        <v>270</v>
      </c>
      <c r="G20">
        <f t="shared" si="25"/>
        <v>300</v>
      </c>
      <c r="H20">
        <v>6</v>
      </c>
      <c r="I20">
        <f t="shared" si="10"/>
        <v>45</v>
      </c>
      <c r="J20">
        <f t="shared" si="33"/>
        <v>0.8203392106811157</v>
      </c>
      <c r="K20">
        <f t="shared" si="26"/>
        <v>1.35</v>
      </c>
      <c r="L20">
        <f t="shared" si="24"/>
        <v>12</v>
      </c>
      <c r="M20">
        <v>2.5</v>
      </c>
      <c r="N20">
        <f t="shared" si="27"/>
        <v>235</v>
      </c>
      <c r="O20">
        <f t="shared" si="34"/>
        <v>195600</v>
      </c>
      <c r="P20">
        <f t="shared" si="35"/>
        <v>6480</v>
      </c>
      <c r="Q20">
        <f t="shared" si="36"/>
        <v>452.38934211693021</v>
      </c>
      <c r="R20">
        <f t="shared" si="28"/>
        <v>6932.3893421169305</v>
      </c>
      <c r="S20">
        <f t="shared" si="14"/>
        <v>98937843.544753</v>
      </c>
      <c r="T20">
        <f t="shared" si="29"/>
        <v>119.46474135158041</v>
      </c>
      <c r="U20">
        <f t="shared" si="30"/>
        <v>100.44804738399286</v>
      </c>
      <c r="W20">
        <f t="shared" si="31"/>
        <v>1.108258656213545</v>
      </c>
      <c r="X20">
        <f t="shared" si="32"/>
        <v>1629.1114953974786</v>
      </c>
      <c r="Y20">
        <v>969.2</v>
      </c>
      <c r="Z20">
        <f t="shared" si="1"/>
        <v>0.59492551782867986</v>
      </c>
      <c r="AA20" t="str">
        <f t="shared" si="19"/>
        <v>MC-R19</v>
      </c>
      <c r="AB20">
        <f t="shared" si="2"/>
        <v>490</v>
      </c>
      <c r="AC20">
        <f t="shared" si="3"/>
        <v>517.02058150931066</v>
      </c>
      <c r="AD20">
        <f t="shared" si="4"/>
        <v>519.7880493042129</v>
      </c>
      <c r="AE20">
        <f t="shared" si="5"/>
        <v>325.88344850615891</v>
      </c>
      <c r="AF20">
        <f t="shared" si="6"/>
        <v>356.90818463384755</v>
      </c>
      <c r="AG20">
        <f t="shared" si="7"/>
        <v>1684.2614588426543</v>
      </c>
      <c r="AH20">
        <f t="shared" si="8"/>
        <v>0.57544509785671216</v>
      </c>
    </row>
    <row r="21" spans="1:34" x14ac:dyDescent="0.25">
      <c r="A21">
        <v>20</v>
      </c>
      <c r="B21">
        <v>355</v>
      </c>
      <c r="C21">
        <v>205</v>
      </c>
      <c r="D21">
        <v>0.8</v>
      </c>
      <c r="E21">
        <v>14000</v>
      </c>
      <c r="F21">
        <v>270</v>
      </c>
      <c r="G21">
        <f t="shared" si="25"/>
        <v>300</v>
      </c>
      <c r="H21">
        <v>6</v>
      </c>
      <c r="I21">
        <f t="shared" si="10"/>
        <v>45</v>
      </c>
      <c r="J21">
        <f t="shared" si="33"/>
        <v>0.8203392106811157</v>
      </c>
      <c r="K21">
        <f t="shared" si="26"/>
        <v>1.35</v>
      </c>
      <c r="L21">
        <f t="shared" si="24"/>
        <v>14</v>
      </c>
      <c r="M21">
        <v>2.5</v>
      </c>
      <c r="N21">
        <f t="shared" si="27"/>
        <v>235</v>
      </c>
      <c r="O21">
        <f t="shared" si="34"/>
        <v>195600</v>
      </c>
      <c r="P21">
        <f t="shared" si="35"/>
        <v>6480</v>
      </c>
      <c r="Q21">
        <f t="shared" si="36"/>
        <v>452.38934211693021</v>
      </c>
      <c r="R21">
        <f t="shared" si="28"/>
        <v>6932.3893421169305</v>
      </c>
      <c r="S21">
        <f t="shared" si="14"/>
        <v>98937843.544753</v>
      </c>
      <c r="T21">
        <f t="shared" si="29"/>
        <v>119.46474135158041</v>
      </c>
      <c r="U21">
        <f t="shared" si="30"/>
        <v>117.18938861465833</v>
      </c>
      <c r="W21">
        <f t="shared" si="31"/>
        <v>1.2929684322491355</v>
      </c>
      <c r="X21">
        <f t="shared" si="32"/>
        <v>1629.1114953974786</v>
      </c>
      <c r="Y21">
        <v>788.2</v>
      </c>
      <c r="Z21">
        <f t="shared" si="1"/>
        <v>0.48382201109426898</v>
      </c>
      <c r="AA21" t="str">
        <f t="shared" si="19"/>
        <v>MC-R20</v>
      </c>
      <c r="AB21">
        <f t="shared" si="2"/>
        <v>490</v>
      </c>
      <c r="AC21">
        <f t="shared" si="3"/>
        <v>517.02058150931066</v>
      </c>
      <c r="AD21">
        <f t="shared" si="4"/>
        <v>519.7880493042129</v>
      </c>
      <c r="AE21">
        <f t="shared" si="5"/>
        <v>325.88344850615891</v>
      </c>
      <c r="AF21">
        <f t="shared" si="6"/>
        <v>356.90818463384755</v>
      </c>
      <c r="AG21">
        <f t="shared" si="7"/>
        <v>1684.2614588426543</v>
      </c>
      <c r="AH21">
        <f t="shared" si="8"/>
        <v>0.467979597741086</v>
      </c>
    </row>
    <row r="22" spans="1:34" x14ac:dyDescent="0.25">
      <c r="A22">
        <v>21</v>
      </c>
      <c r="B22">
        <v>355</v>
      </c>
      <c r="C22">
        <v>205</v>
      </c>
      <c r="D22">
        <v>0.8</v>
      </c>
      <c r="E22">
        <v>16000</v>
      </c>
      <c r="F22">
        <v>270</v>
      </c>
      <c r="G22">
        <f t="shared" si="25"/>
        <v>300</v>
      </c>
      <c r="H22">
        <v>6</v>
      </c>
      <c r="I22">
        <f t="shared" si="10"/>
        <v>45</v>
      </c>
      <c r="J22">
        <f t="shared" si="33"/>
        <v>0.8203392106811157</v>
      </c>
      <c r="K22">
        <f t="shared" si="26"/>
        <v>1.35</v>
      </c>
      <c r="L22">
        <f t="shared" si="24"/>
        <v>16</v>
      </c>
      <c r="M22">
        <v>2.5</v>
      </c>
      <c r="N22">
        <f t="shared" si="27"/>
        <v>235</v>
      </c>
      <c r="O22">
        <f t="shared" si="34"/>
        <v>195600</v>
      </c>
      <c r="P22">
        <f t="shared" si="35"/>
        <v>6480</v>
      </c>
      <c r="Q22">
        <f t="shared" si="36"/>
        <v>452.38934211693021</v>
      </c>
      <c r="R22">
        <f t="shared" si="28"/>
        <v>6932.3893421169305</v>
      </c>
      <c r="S22">
        <f t="shared" si="14"/>
        <v>98937843.544753</v>
      </c>
      <c r="T22">
        <f t="shared" si="29"/>
        <v>119.46474135158041</v>
      </c>
      <c r="U22">
        <f t="shared" si="30"/>
        <v>133.93072984532381</v>
      </c>
      <c r="W22">
        <f t="shared" si="31"/>
        <v>1.4776782082847266</v>
      </c>
      <c r="X22">
        <f t="shared" si="32"/>
        <v>1629.1114953974786</v>
      </c>
      <c r="Y22">
        <v>635.79999999999995</v>
      </c>
      <c r="Z22">
        <f t="shared" si="1"/>
        <v>0.3902740860869528</v>
      </c>
      <c r="AA22" t="str">
        <f t="shared" si="19"/>
        <v>MC-R21</v>
      </c>
      <c r="AB22">
        <f t="shared" si="2"/>
        <v>490</v>
      </c>
      <c r="AC22">
        <f t="shared" si="3"/>
        <v>517.02058150931066</v>
      </c>
      <c r="AD22">
        <f t="shared" si="4"/>
        <v>519.7880493042129</v>
      </c>
      <c r="AE22">
        <f t="shared" si="5"/>
        <v>325.88344850615891</v>
      </c>
      <c r="AF22">
        <f t="shared" si="6"/>
        <v>356.90818463384755</v>
      </c>
      <c r="AG22">
        <f t="shared" si="7"/>
        <v>1684.2614588426543</v>
      </c>
      <c r="AH22">
        <f t="shared" si="8"/>
        <v>0.37749483410781837</v>
      </c>
    </row>
    <row r="23" spans="1:34" x14ac:dyDescent="0.25">
      <c r="A23">
        <v>22</v>
      </c>
      <c r="B23">
        <v>355</v>
      </c>
      <c r="C23">
        <v>205</v>
      </c>
      <c r="D23">
        <v>0.8</v>
      </c>
      <c r="E23">
        <v>18000</v>
      </c>
      <c r="F23">
        <v>270</v>
      </c>
      <c r="G23">
        <f t="shared" si="25"/>
        <v>300</v>
      </c>
      <c r="H23">
        <v>6</v>
      </c>
      <c r="I23">
        <f t="shared" si="10"/>
        <v>45</v>
      </c>
      <c r="J23">
        <f t="shared" si="33"/>
        <v>0.8203392106811157</v>
      </c>
      <c r="K23">
        <f t="shared" si="26"/>
        <v>1.35</v>
      </c>
      <c r="L23">
        <f t="shared" si="24"/>
        <v>18</v>
      </c>
      <c r="M23">
        <v>2.5</v>
      </c>
      <c r="N23">
        <f t="shared" si="27"/>
        <v>235</v>
      </c>
      <c r="O23">
        <f t="shared" si="34"/>
        <v>195600</v>
      </c>
      <c r="P23">
        <f t="shared" si="35"/>
        <v>6480</v>
      </c>
      <c r="Q23">
        <f t="shared" si="36"/>
        <v>452.38934211693021</v>
      </c>
      <c r="R23">
        <f t="shared" si="28"/>
        <v>6932.3893421169305</v>
      </c>
      <c r="S23">
        <f t="shared" si="14"/>
        <v>98937843.544753</v>
      </c>
      <c r="T23">
        <f t="shared" si="29"/>
        <v>119.46474135158041</v>
      </c>
      <c r="U23">
        <f t="shared" si="30"/>
        <v>150.67207107598929</v>
      </c>
      <c r="W23">
        <f t="shared" si="31"/>
        <v>1.6623879843203175</v>
      </c>
      <c r="X23">
        <f t="shared" si="32"/>
        <v>1629.1114953974786</v>
      </c>
      <c r="Y23">
        <v>519.29999999999995</v>
      </c>
      <c r="Z23">
        <f t="shared" si="1"/>
        <v>0.31876271296784298</v>
      </c>
      <c r="AA23" t="str">
        <f t="shared" si="19"/>
        <v>MC-R22</v>
      </c>
      <c r="AB23">
        <f t="shared" ref="AB23:AB43" si="37">IF(B23=235,360,IF(B23=355,490,560))</f>
        <v>490</v>
      </c>
      <c r="AC23">
        <f t="shared" ref="AC23" si="38">C23/(0.2+185*C23/193000)</f>
        <v>517.02058150931066</v>
      </c>
      <c r="AD23">
        <f t="shared" ref="AD23:AD43" si="39">B23*(2.769*(AB23/B23)-0.581*(AB23/B23)^2-1.182)/((M23-1)^(0.314*(AB23/B23)-0.32))</f>
        <v>519.7880493042129</v>
      </c>
      <c r="AE23">
        <f t="shared" ref="AE23:AE43" si="40">1.673*C23/(M23-1)^0.126</f>
        <v>325.88344850615891</v>
      </c>
      <c r="AF23">
        <f t="shared" ref="AF23:AF43" si="41">AD23*(1-((2*M23*H23-D23*H23)/(2*M23*H23-H23)*D23))+AE23*((2*M23*H23-D23*H23)/(2*M23*H23-H23)*D23)</f>
        <v>356.90818463384755</v>
      </c>
      <c r="AG23">
        <f t="shared" si="7"/>
        <v>1684.2614588426543</v>
      </c>
      <c r="AH23">
        <f t="shared" si="8"/>
        <v>0.30832505088422474</v>
      </c>
    </row>
    <row r="24" spans="1:34" x14ac:dyDescent="0.25">
      <c r="A24">
        <v>23</v>
      </c>
      <c r="B24">
        <v>355</v>
      </c>
      <c r="C24">
        <v>205</v>
      </c>
      <c r="D24">
        <v>0.2</v>
      </c>
      <c r="E24">
        <v>2000</v>
      </c>
      <c r="F24">
        <v>270</v>
      </c>
      <c r="G24">
        <f>F24+2*H24*M24</f>
        <v>300</v>
      </c>
      <c r="H24">
        <v>6</v>
      </c>
      <c r="I24">
        <f>F24/H24</f>
        <v>45</v>
      </c>
      <c r="J24">
        <f>SQRT(12*(1-0.3^2)*I24^2*N24/(4*PI()^2*O24))</f>
        <v>0.94604146249571819</v>
      </c>
      <c r="K24">
        <f>H24*I24/200</f>
        <v>1.35</v>
      </c>
      <c r="L24">
        <f t="shared" si="24"/>
        <v>2</v>
      </c>
      <c r="M24">
        <v>2.5</v>
      </c>
      <c r="N24">
        <f>D24*C24+(1-D24)*B24</f>
        <v>325</v>
      </c>
      <c r="O24">
        <f>193000*D24+(1-D24)*206000</f>
        <v>203400</v>
      </c>
      <c r="P24">
        <f>H24*I24*H24*4</f>
        <v>6480</v>
      </c>
      <c r="Q24">
        <f>PI()*(M24*H24)^2-PI()*((M24-1)*H24)^2</f>
        <v>452.38934211693021</v>
      </c>
      <c r="R24">
        <f>P24+Q24</f>
        <v>6932.3893421169305</v>
      </c>
      <c r="S24">
        <f>1/12*H24*(H24*I24)^3*2+(1/12*(H24*I24)*H24^3+(H24*I24)*H24*(G24/2-H24/2)^2)*2+PI()/8*((M24*H24)^4-((M24-1)*H24)^4)*2+1/2*PI()*((M24*H24)^2-((M24-1)*H24)^2)*(-1*((4*((M24*H24)^3-((M24-1)*H24)^3))/(3*PI()*((M24*H24)^2-((M24-1)*H24)^2)))^2+1*((4*((M24*H24)^3-((M24-1)*H24)^3))/(3*PI()*((M24*H24)^2-((M24-1)*H24)^2))+H24*I24/2)^2)*2</f>
        <v>98937843.544753</v>
      </c>
      <c r="T24">
        <f>SQRT(S24/R24)</f>
        <v>119.46474135158041</v>
      </c>
      <c r="U24">
        <f>E24/T24</f>
        <v>16.741341230665476</v>
      </c>
      <c r="V24" t="s">
        <v>34</v>
      </c>
      <c r="W24">
        <f>U24/PI()*SQRT(N24/O24)</f>
        <v>0.21301323206637926</v>
      </c>
      <c r="X24">
        <f>R24*N24/1000</f>
        <v>2253.0265361880024</v>
      </c>
      <c r="Y24">
        <v>1727.8</v>
      </c>
      <c r="Z24">
        <f t="shared" si="1"/>
        <v>0.76687956055916806</v>
      </c>
      <c r="AA24" t="str">
        <f t="shared" si="19"/>
        <v>MC-R23</v>
      </c>
      <c r="AB24">
        <f t="shared" si="37"/>
        <v>490</v>
      </c>
      <c r="AC24">
        <f t="shared" ref="AC24:AC44" si="42">C24/(0.2+185*C24/193000)</f>
        <v>517.02058150931066</v>
      </c>
      <c r="AD24">
        <f t="shared" si="39"/>
        <v>519.7880493042129</v>
      </c>
      <c r="AE24">
        <f t="shared" si="40"/>
        <v>325.88344850615891</v>
      </c>
      <c r="AF24">
        <f t="shared" si="41"/>
        <v>473.25094511267991</v>
      </c>
      <c r="AG24">
        <f t="shared" si="7"/>
        <v>2320.0936837157406</v>
      </c>
      <c r="AH24">
        <f t="shared" si="8"/>
        <v>0.74471130718861578</v>
      </c>
    </row>
    <row r="25" spans="1:34" x14ac:dyDescent="0.25">
      <c r="A25">
        <v>24</v>
      </c>
      <c r="B25">
        <v>355</v>
      </c>
      <c r="C25">
        <v>205</v>
      </c>
      <c r="D25">
        <v>0.2</v>
      </c>
      <c r="E25">
        <v>3000</v>
      </c>
      <c r="F25">
        <v>270</v>
      </c>
      <c r="G25">
        <f t="shared" ref="G25:G34" si="43">F25+2*H25*M25</f>
        <v>300</v>
      </c>
      <c r="H25">
        <v>6</v>
      </c>
      <c r="I25">
        <f t="shared" ref="I25:I45" si="44">F25/H25</f>
        <v>45</v>
      </c>
      <c r="J25">
        <f>SQRT(12*(1-0.3^2)*I25^2*N25/(4*PI()^2*O25))</f>
        <v>0.94604146249571819</v>
      </c>
      <c r="K25">
        <f t="shared" ref="K25:K34" si="45">H25*I25/200</f>
        <v>1.35</v>
      </c>
      <c r="L25">
        <f t="shared" si="24"/>
        <v>3</v>
      </c>
      <c r="M25">
        <v>2.5</v>
      </c>
      <c r="N25">
        <f t="shared" ref="N25:N34" si="46">D25*C25+(1-D25)*B25</f>
        <v>325</v>
      </c>
      <c r="O25">
        <f>193000*D25+(1-D25)*206000</f>
        <v>203400</v>
      </c>
      <c r="P25">
        <f>H25*I25*H25*4</f>
        <v>6480</v>
      </c>
      <c r="Q25">
        <f>PI()*(M25*H25)^2-PI()*((M25-1)*H25)^2</f>
        <v>452.38934211693021</v>
      </c>
      <c r="R25">
        <f t="shared" ref="R25:R34" si="47">P25+Q25</f>
        <v>6932.3893421169305</v>
      </c>
      <c r="S25">
        <f t="shared" ref="S25:S45" si="48">1/12*H25*(H25*I25)^3*2+(1/12*(H25*I25)*H25^3+(H25*I25)*H25*(G25/2-H25/2)^2)*2+PI()/8*((M25*H25)^4-((M25-1)*H25)^4)*2+1/2*PI()*((M25*H25)^2-((M25-1)*H25)^2)*(-1*((4*((M25*H25)^3-((M25-1)*H25)^3))/(3*PI()*((M25*H25)^2-((M25-1)*H25)^2)))^2+1*((4*((M25*H25)^3-((M25-1)*H25)^3))/(3*PI()*((M25*H25)^2-((M25-1)*H25)^2))+H25*I25/2)^2)*2</f>
        <v>98937843.544753</v>
      </c>
      <c r="T25">
        <f t="shared" ref="T25:T34" si="49">SQRT(S25/R25)</f>
        <v>119.46474135158041</v>
      </c>
      <c r="U25">
        <f t="shared" ref="U25:U34" si="50">E25/T25</f>
        <v>25.112011845998214</v>
      </c>
      <c r="W25">
        <f t="shared" ref="W25:W34" si="51">U25/PI()*SQRT(N25/O25)</f>
        <v>0.3195198480995689</v>
      </c>
      <c r="X25">
        <f t="shared" ref="X25:X34" si="52">R25*N25/1000</f>
        <v>2253.0265361880024</v>
      </c>
      <c r="Y25">
        <v>1726</v>
      </c>
      <c r="Z25">
        <f t="shared" si="1"/>
        <v>0.76608063521537462</v>
      </c>
      <c r="AA25" t="str">
        <f t="shared" si="19"/>
        <v>MC-R24</v>
      </c>
      <c r="AB25">
        <f t="shared" si="37"/>
        <v>490</v>
      </c>
      <c r="AC25">
        <f t="shared" si="42"/>
        <v>517.02058150931066</v>
      </c>
      <c r="AD25">
        <f t="shared" si="39"/>
        <v>519.7880493042129</v>
      </c>
      <c r="AE25">
        <f t="shared" si="40"/>
        <v>325.88344850615891</v>
      </c>
      <c r="AF25">
        <f t="shared" si="41"/>
        <v>473.25094511267991</v>
      </c>
      <c r="AG25">
        <f t="shared" si="7"/>
        <v>2320.0936837157406</v>
      </c>
      <c r="AH25">
        <f t="shared" si="8"/>
        <v>0.74393547644840308</v>
      </c>
    </row>
    <row r="26" spans="1:34" x14ac:dyDescent="0.25">
      <c r="A26">
        <v>25</v>
      </c>
      <c r="B26">
        <v>355</v>
      </c>
      <c r="C26">
        <v>205</v>
      </c>
      <c r="D26">
        <v>0.2</v>
      </c>
      <c r="E26">
        <v>4000</v>
      </c>
      <c r="F26">
        <v>270</v>
      </c>
      <c r="G26">
        <f t="shared" si="43"/>
        <v>300</v>
      </c>
      <c r="H26">
        <v>6</v>
      </c>
      <c r="I26">
        <f t="shared" si="44"/>
        <v>45</v>
      </c>
      <c r="J26">
        <f>SQRT(12*(1-0.3^2)*I26^2*N26/(4*PI()^2*O26))</f>
        <v>0.94604146249571819</v>
      </c>
      <c r="K26">
        <f t="shared" si="45"/>
        <v>1.35</v>
      </c>
      <c r="L26">
        <f t="shared" si="24"/>
        <v>4</v>
      </c>
      <c r="M26">
        <v>2.5</v>
      </c>
      <c r="N26">
        <f t="shared" si="46"/>
        <v>325</v>
      </c>
      <c r="O26">
        <f>193000*D26+(1-D26)*206000</f>
        <v>203400</v>
      </c>
      <c r="P26">
        <f>H26*I26*H26*4</f>
        <v>6480</v>
      </c>
      <c r="Q26">
        <f>PI()*(M26*H26)^2-PI()*((M26-1)*H26)^2</f>
        <v>452.38934211693021</v>
      </c>
      <c r="R26">
        <f t="shared" si="47"/>
        <v>6932.3893421169305</v>
      </c>
      <c r="S26">
        <f t="shared" si="48"/>
        <v>98937843.544753</v>
      </c>
      <c r="T26">
        <f t="shared" si="49"/>
        <v>119.46474135158041</v>
      </c>
      <c r="U26">
        <f t="shared" si="50"/>
        <v>33.482682461330953</v>
      </c>
      <c r="W26">
        <f t="shared" si="51"/>
        <v>0.42602646413275852</v>
      </c>
      <c r="X26">
        <f t="shared" si="52"/>
        <v>2253.0265361880024</v>
      </c>
      <c r="Y26">
        <v>1709.1</v>
      </c>
      <c r="Z26">
        <f t="shared" si="1"/>
        <v>0.75857961393197948</v>
      </c>
      <c r="AA26" t="str">
        <f t="shared" si="19"/>
        <v>MC-R25</v>
      </c>
      <c r="AB26">
        <f t="shared" si="37"/>
        <v>490</v>
      </c>
      <c r="AC26">
        <f t="shared" si="42"/>
        <v>517.02058150931066</v>
      </c>
      <c r="AD26">
        <f t="shared" si="39"/>
        <v>519.7880493042129</v>
      </c>
      <c r="AE26">
        <f t="shared" si="40"/>
        <v>325.88344850615891</v>
      </c>
      <c r="AF26">
        <f t="shared" si="41"/>
        <v>473.25094511267991</v>
      </c>
      <c r="AG26">
        <f t="shared" si="7"/>
        <v>2320.0936837157406</v>
      </c>
      <c r="AH26">
        <f t="shared" si="8"/>
        <v>0.73665128783196154</v>
      </c>
    </row>
    <row r="27" spans="1:34" x14ac:dyDescent="0.25">
      <c r="A27">
        <v>26</v>
      </c>
      <c r="B27">
        <v>355</v>
      </c>
      <c r="C27">
        <v>205</v>
      </c>
      <c r="D27">
        <v>0.2</v>
      </c>
      <c r="E27">
        <v>5000</v>
      </c>
      <c r="F27">
        <v>270</v>
      </c>
      <c r="G27">
        <f t="shared" si="43"/>
        <v>300</v>
      </c>
      <c r="H27">
        <v>6</v>
      </c>
      <c r="I27">
        <f t="shared" si="44"/>
        <v>45</v>
      </c>
      <c r="J27">
        <f t="shared" ref="J27:J34" si="53">SQRT(12*(1-0.3^2)*I27^2*N27/(4*PI()^2*O27))</f>
        <v>0.94604146249571819</v>
      </c>
      <c r="K27">
        <f t="shared" si="45"/>
        <v>1.35</v>
      </c>
      <c r="L27">
        <f t="shared" si="24"/>
        <v>5</v>
      </c>
      <c r="M27">
        <v>2.5</v>
      </c>
      <c r="N27">
        <f t="shared" si="46"/>
        <v>325</v>
      </c>
      <c r="O27">
        <f t="shared" ref="O27:O34" si="54">193000*D27+(1-D27)*206000</f>
        <v>203400</v>
      </c>
      <c r="P27">
        <f t="shared" ref="P27:P34" si="55">H27*I27*H27*4</f>
        <v>6480</v>
      </c>
      <c r="Q27">
        <f t="shared" ref="Q27:Q34" si="56">PI()*(M27*H27)^2-PI()*((M27-1)*H27)^2</f>
        <v>452.38934211693021</v>
      </c>
      <c r="R27">
        <f t="shared" si="47"/>
        <v>6932.3893421169305</v>
      </c>
      <c r="S27">
        <f t="shared" si="48"/>
        <v>98937843.544753</v>
      </c>
      <c r="T27">
        <f t="shared" si="49"/>
        <v>119.46474135158041</v>
      </c>
      <c r="U27">
        <f t="shared" si="50"/>
        <v>41.853353076663687</v>
      </c>
      <c r="W27">
        <f t="shared" si="51"/>
        <v>0.53253308016594814</v>
      </c>
      <c r="X27">
        <f t="shared" si="52"/>
        <v>2253.0265361880024</v>
      </c>
      <c r="Y27">
        <v>1690.3</v>
      </c>
      <c r="Z27">
        <f t="shared" si="1"/>
        <v>0.75023528256346905</v>
      </c>
      <c r="AA27" t="str">
        <f t="shared" si="19"/>
        <v>MC-R26</v>
      </c>
      <c r="AB27">
        <f t="shared" si="37"/>
        <v>490</v>
      </c>
      <c r="AC27">
        <f t="shared" si="42"/>
        <v>517.02058150931066</v>
      </c>
      <c r="AD27">
        <f t="shared" si="39"/>
        <v>519.7880493042129</v>
      </c>
      <c r="AE27">
        <f t="shared" si="40"/>
        <v>325.88344850615891</v>
      </c>
      <c r="AF27">
        <f t="shared" si="41"/>
        <v>473.25094511267991</v>
      </c>
      <c r="AG27">
        <f t="shared" si="7"/>
        <v>2320.0936837157406</v>
      </c>
      <c r="AH27">
        <f t="shared" si="8"/>
        <v>0.72854816676751777</v>
      </c>
    </row>
    <row r="28" spans="1:34" x14ac:dyDescent="0.25">
      <c r="A28">
        <v>27</v>
      </c>
      <c r="B28">
        <v>355</v>
      </c>
      <c r="C28">
        <v>205</v>
      </c>
      <c r="D28">
        <v>0.2</v>
      </c>
      <c r="E28">
        <v>6000</v>
      </c>
      <c r="F28">
        <v>270</v>
      </c>
      <c r="G28">
        <f t="shared" si="43"/>
        <v>300</v>
      </c>
      <c r="H28">
        <v>6</v>
      </c>
      <c r="I28">
        <f t="shared" si="44"/>
        <v>45</v>
      </c>
      <c r="J28">
        <f t="shared" si="53"/>
        <v>0.94604146249571819</v>
      </c>
      <c r="K28">
        <f t="shared" si="45"/>
        <v>1.35</v>
      </c>
      <c r="L28">
        <f t="shared" si="24"/>
        <v>6</v>
      </c>
      <c r="M28">
        <v>2.5</v>
      </c>
      <c r="N28">
        <f t="shared" si="46"/>
        <v>325</v>
      </c>
      <c r="O28">
        <f t="shared" si="54"/>
        <v>203400</v>
      </c>
      <c r="P28">
        <f t="shared" si="55"/>
        <v>6480</v>
      </c>
      <c r="Q28">
        <f t="shared" si="56"/>
        <v>452.38934211693021</v>
      </c>
      <c r="R28">
        <f t="shared" si="47"/>
        <v>6932.3893421169305</v>
      </c>
      <c r="S28">
        <f t="shared" si="48"/>
        <v>98937843.544753</v>
      </c>
      <c r="T28">
        <f t="shared" si="49"/>
        <v>119.46474135158041</v>
      </c>
      <c r="U28">
        <f t="shared" si="50"/>
        <v>50.224023691996429</v>
      </c>
      <c r="W28">
        <f t="shared" si="51"/>
        <v>0.63903969619913781</v>
      </c>
      <c r="X28">
        <f t="shared" si="52"/>
        <v>2253.0265361880024</v>
      </c>
      <c r="Y28">
        <v>1660</v>
      </c>
      <c r="Z28">
        <f t="shared" si="1"/>
        <v>0.73678670594294426</v>
      </c>
      <c r="AA28" t="str">
        <f t="shared" si="19"/>
        <v>MC-R27</v>
      </c>
      <c r="AB28">
        <f t="shared" si="37"/>
        <v>490</v>
      </c>
      <c r="AC28">
        <f t="shared" si="42"/>
        <v>517.02058150931066</v>
      </c>
      <c r="AD28">
        <f t="shared" si="39"/>
        <v>519.7880493042129</v>
      </c>
      <c r="AE28">
        <f t="shared" si="40"/>
        <v>325.88344850615891</v>
      </c>
      <c r="AF28">
        <f t="shared" si="41"/>
        <v>473.25094511267991</v>
      </c>
      <c r="AG28">
        <f t="shared" si="7"/>
        <v>2320.0936837157406</v>
      </c>
      <c r="AH28">
        <f t="shared" si="8"/>
        <v>0.71548834930727057</v>
      </c>
    </row>
    <row r="29" spans="1:34" x14ac:dyDescent="0.25">
      <c r="A29">
        <v>28</v>
      </c>
      <c r="B29">
        <v>355</v>
      </c>
      <c r="C29">
        <v>205</v>
      </c>
      <c r="D29">
        <v>0.2</v>
      </c>
      <c r="E29">
        <v>8000</v>
      </c>
      <c r="F29">
        <v>270</v>
      </c>
      <c r="G29">
        <f t="shared" si="43"/>
        <v>300</v>
      </c>
      <c r="H29">
        <v>6</v>
      </c>
      <c r="I29">
        <f t="shared" si="44"/>
        <v>45</v>
      </c>
      <c r="J29">
        <f t="shared" si="53"/>
        <v>0.94604146249571819</v>
      </c>
      <c r="K29">
        <f t="shared" si="45"/>
        <v>1.35</v>
      </c>
      <c r="L29">
        <f t="shared" si="24"/>
        <v>8</v>
      </c>
      <c r="M29">
        <v>2.5</v>
      </c>
      <c r="N29">
        <f t="shared" si="46"/>
        <v>325</v>
      </c>
      <c r="O29">
        <f t="shared" si="54"/>
        <v>203400</v>
      </c>
      <c r="P29">
        <f t="shared" si="55"/>
        <v>6480</v>
      </c>
      <c r="Q29">
        <f t="shared" si="56"/>
        <v>452.38934211693021</v>
      </c>
      <c r="R29">
        <f t="shared" si="47"/>
        <v>6932.3893421169305</v>
      </c>
      <c r="S29">
        <f t="shared" si="48"/>
        <v>98937843.544753</v>
      </c>
      <c r="T29">
        <f t="shared" si="49"/>
        <v>119.46474135158041</v>
      </c>
      <c r="U29">
        <f t="shared" si="50"/>
        <v>66.965364922661905</v>
      </c>
      <c r="W29">
        <f t="shared" si="51"/>
        <v>0.85205292826551704</v>
      </c>
      <c r="X29">
        <f t="shared" si="52"/>
        <v>2253.0265361880024</v>
      </c>
      <c r="Y29">
        <v>1548</v>
      </c>
      <c r="Z29">
        <f t="shared" si="1"/>
        <v>0.68707579566245647</v>
      </c>
      <c r="AA29" t="str">
        <f t="shared" si="19"/>
        <v>MC-R28</v>
      </c>
      <c r="AB29">
        <f t="shared" si="37"/>
        <v>490</v>
      </c>
      <c r="AC29">
        <f t="shared" si="42"/>
        <v>517.02058150931066</v>
      </c>
      <c r="AD29">
        <f t="shared" si="39"/>
        <v>519.7880493042129</v>
      </c>
      <c r="AE29">
        <f t="shared" si="40"/>
        <v>325.88344850615891</v>
      </c>
      <c r="AF29">
        <f t="shared" si="41"/>
        <v>473.25094511267991</v>
      </c>
      <c r="AG29">
        <f t="shared" si="7"/>
        <v>2320.0936837157406</v>
      </c>
      <c r="AH29">
        <f t="shared" si="8"/>
        <v>0.66721443658292467</v>
      </c>
    </row>
    <row r="30" spans="1:34" x14ac:dyDescent="0.25">
      <c r="A30">
        <v>29</v>
      </c>
      <c r="B30">
        <v>355</v>
      </c>
      <c r="C30">
        <v>205</v>
      </c>
      <c r="D30">
        <v>0.2</v>
      </c>
      <c r="E30">
        <v>10000</v>
      </c>
      <c r="F30">
        <v>270</v>
      </c>
      <c r="G30">
        <f t="shared" si="43"/>
        <v>300</v>
      </c>
      <c r="H30">
        <v>6</v>
      </c>
      <c r="I30">
        <f t="shared" si="44"/>
        <v>45</v>
      </c>
      <c r="J30">
        <f t="shared" si="53"/>
        <v>0.94604146249571819</v>
      </c>
      <c r="K30">
        <f t="shared" si="45"/>
        <v>1.35</v>
      </c>
      <c r="L30">
        <f t="shared" si="24"/>
        <v>10</v>
      </c>
      <c r="M30">
        <v>2.5</v>
      </c>
      <c r="N30">
        <f t="shared" si="46"/>
        <v>325</v>
      </c>
      <c r="O30">
        <f t="shared" si="54"/>
        <v>203400</v>
      </c>
      <c r="P30">
        <f t="shared" si="55"/>
        <v>6480</v>
      </c>
      <c r="Q30">
        <f t="shared" si="56"/>
        <v>452.38934211693021</v>
      </c>
      <c r="R30">
        <f t="shared" si="47"/>
        <v>6932.3893421169305</v>
      </c>
      <c r="S30">
        <f t="shared" si="48"/>
        <v>98937843.544753</v>
      </c>
      <c r="T30">
        <f t="shared" si="49"/>
        <v>119.46474135158041</v>
      </c>
      <c r="U30">
        <f t="shared" si="50"/>
        <v>83.706706153327374</v>
      </c>
      <c r="W30">
        <f t="shared" si="51"/>
        <v>1.0650661603318963</v>
      </c>
      <c r="X30">
        <f t="shared" si="52"/>
        <v>2253.0265361880024</v>
      </c>
      <c r="Y30">
        <v>1327.9</v>
      </c>
      <c r="Z30">
        <f t="shared" si="1"/>
        <v>0.58938498001303363</v>
      </c>
      <c r="AA30" t="str">
        <f t="shared" si="19"/>
        <v>MC-R29</v>
      </c>
      <c r="AB30">
        <f t="shared" si="37"/>
        <v>490</v>
      </c>
      <c r="AC30">
        <f t="shared" si="42"/>
        <v>517.02058150931066</v>
      </c>
      <c r="AD30">
        <f t="shared" si="39"/>
        <v>519.7880493042129</v>
      </c>
      <c r="AE30">
        <f t="shared" si="40"/>
        <v>325.88344850615891</v>
      </c>
      <c r="AF30">
        <f t="shared" si="41"/>
        <v>473.25094511267991</v>
      </c>
      <c r="AG30">
        <f t="shared" si="7"/>
        <v>2320.0936837157406</v>
      </c>
      <c r="AH30">
        <f t="shared" si="8"/>
        <v>0.57234757773802691</v>
      </c>
    </row>
    <row r="31" spans="1:34" x14ac:dyDescent="0.25">
      <c r="A31">
        <v>30</v>
      </c>
      <c r="B31">
        <v>355</v>
      </c>
      <c r="C31">
        <v>205</v>
      </c>
      <c r="D31">
        <v>0.2</v>
      </c>
      <c r="E31">
        <v>12000</v>
      </c>
      <c r="F31">
        <v>270</v>
      </c>
      <c r="G31">
        <f t="shared" si="43"/>
        <v>300</v>
      </c>
      <c r="H31">
        <v>6</v>
      </c>
      <c r="I31">
        <f t="shared" si="44"/>
        <v>45</v>
      </c>
      <c r="J31">
        <f t="shared" si="53"/>
        <v>0.94604146249571819</v>
      </c>
      <c r="K31">
        <f t="shared" si="45"/>
        <v>1.35</v>
      </c>
      <c r="L31">
        <f t="shared" si="24"/>
        <v>12</v>
      </c>
      <c r="M31">
        <v>2.5</v>
      </c>
      <c r="N31">
        <f t="shared" si="46"/>
        <v>325</v>
      </c>
      <c r="O31">
        <f t="shared" si="54"/>
        <v>203400</v>
      </c>
      <c r="P31">
        <f t="shared" si="55"/>
        <v>6480</v>
      </c>
      <c r="Q31">
        <f t="shared" si="56"/>
        <v>452.38934211693021</v>
      </c>
      <c r="R31">
        <f t="shared" si="47"/>
        <v>6932.3893421169305</v>
      </c>
      <c r="S31">
        <f t="shared" si="48"/>
        <v>98937843.544753</v>
      </c>
      <c r="T31">
        <f t="shared" si="49"/>
        <v>119.46474135158041</v>
      </c>
      <c r="U31">
        <f t="shared" si="50"/>
        <v>100.44804738399286</v>
      </c>
      <c r="W31">
        <f t="shared" si="51"/>
        <v>1.2780793923982756</v>
      </c>
      <c r="X31">
        <f t="shared" si="52"/>
        <v>2253.0265361880024</v>
      </c>
      <c r="Y31">
        <v>1081.5999999999999</v>
      </c>
      <c r="Z31">
        <f t="shared" si="1"/>
        <v>0.48006536213728218</v>
      </c>
      <c r="AA31" t="str">
        <f t="shared" si="19"/>
        <v>MC-R30</v>
      </c>
      <c r="AB31">
        <f t="shared" si="37"/>
        <v>490</v>
      </c>
      <c r="AC31">
        <f t="shared" si="42"/>
        <v>517.02058150931066</v>
      </c>
      <c r="AD31">
        <f t="shared" si="39"/>
        <v>519.7880493042129</v>
      </c>
      <c r="AE31">
        <f t="shared" si="40"/>
        <v>325.88344850615891</v>
      </c>
      <c r="AF31">
        <f t="shared" si="41"/>
        <v>473.25094511267991</v>
      </c>
      <c r="AG31">
        <f t="shared" si="7"/>
        <v>2320.0936837157406</v>
      </c>
      <c r="AH31">
        <f t="shared" si="8"/>
        <v>0.46618807145225533</v>
      </c>
    </row>
    <row r="32" spans="1:34" x14ac:dyDescent="0.25">
      <c r="A32">
        <v>31</v>
      </c>
      <c r="B32">
        <v>355</v>
      </c>
      <c r="C32">
        <v>205</v>
      </c>
      <c r="D32">
        <v>0.2</v>
      </c>
      <c r="E32">
        <v>14000</v>
      </c>
      <c r="F32">
        <v>270</v>
      </c>
      <c r="G32">
        <f t="shared" si="43"/>
        <v>300</v>
      </c>
      <c r="H32">
        <v>6</v>
      </c>
      <c r="I32">
        <f t="shared" si="44"/>
        <v>45</v>
      </c>
      <c r="J32">
        <f t="shared" si="53"/>
        <v>0.94604146249571819</v>
      </c>
      <c r="K32">
        <f t="shared" si="45"/>
        <v>1.35</v>
      </c>
      <c r="L32">
        <f t="shared" si="24"/>
        <v>14</v>
      </c>
      <c r="M32">
        <v>2.5</v>
      </c>
      <c r="N32">
        <f t="shared" si="46"/>
        <v>325</v>
      </c>
      <c r="O32">
        <f t="shared" si="54"/>
        <v>203400</v>
      </c>
      <c r="P32">
        <f t="shared" si="55"/>
        <v>6480</v>
      </c>
      <c r="Q32">
        <f t="shared" si="56"/>
        <v>452.38934211693021</v>
      </c>
      <c r="R32">
        <f t="shared" si="47"/>
        <v>6932.3893421169305</v>
      </c>
      <c r="S32">
        <f t="shared" si="48"/>
        <v>98937843.544753</v>
      </c>
      <c r="T32">
        <f t="shared" si="49"/>
        <v>119.46474135158041</v>
      </c>
      <c r="U32">
        <f t="shared" si="50"/>
        <v>117.18938861465833</v>
      </c>
      <c r="W32">
        <f t="shared" si="51"/>
        <v>1.4910926244646545</v>
      </c>
      <c r="X32">
        <f t="shared" si="52"/>
        <v>2253.0265361880024</v>
      </c>
      <c r="Y32">
        <v>892.3</v>
      </c>
      <c r="Z32">
        <f t="shared" si="1"/>
        <v>0.39604504681499347</v>
      </c>
      <c r="AA32" t="str">
        <f t="shared" si="19"/>
        <v>MC-R31</v>
      </c>
      <c r="AB32">
        <f t="shared" si="37"/>
        <v>490</v>
      </c>
      <c r="AC32">
        <f t="shared" si="42"/>
        <v>517.02058150931066</v>
      </c>
      <c r="AD32">
        <f t="shared" si="39"/>
        <v>519.7880493042129</v>
      </c>
      <c r="AE32">
        <f t="shared" si="40"/>
        <v>325.88344850615891</v>
      </c>
      <c r="AF32">
        <f t="shared" si="41"/>
        <v>473.25094511267991</v>
      </c>
      <c r="AG32">
        <f t="shared" si="7"/>
        <v>2320.0936837157406</v>
      </c>
      <c r="AH32">
        <f t="shared" si="8"/>
        <v>0.38459653860655274</v>
      </c>
    </row>
    <row r="33" spans="1:34" x14ac:dyDescent="0.25">
      <c r="A33">
        <v>32</v>
      </c>
      <c r="B33">
        <v>355</v>
      </c>
      <c r="C33">
        <v>205</v>
      </c>
      <c r="D33">
        <v>0.2</v>
      </c>
      <c r="E33">
        <v>16000</v>
      </c>
      <c r="F33">
        <v>270</v>
      </c>
      <c r="G33">
        <f t="shared" si="43"/>
        <v>300</v>
      </c>
      <c r="H33">
        <v>6</v>
      </c>
      <c r="I33">
        <f t="shared" si="44"/>
        <v>45</v>
      </c>
      <c r="J33">
        <f t="shared" si="53"/>
        <v>0.94604146249571819</v>
      </c>
      <c r="K33">
        <f t="shared" si="45"/>
        <v>1.35</v>
      </c>
      <c r="L33">
        <f t="shared" si="24"/>
        <v>16</v>
      </c>
      <c r="M33">
        <v>2.5</v>
      </c>
      <c r="N33">
        <f t="shared" si="46"/>
        <v>325</v>
      </c>
      <c r="O33">
        <f t="shared" si="54"/>
        <v>203400</v>
      </c>
      <c r="P33">
        <f t="shared" si="55"/>
        <v>6480</v>
      </c>
      <c r="Q33">
        <f t="shared" si="56"/>
        <v>452.38934211693021</v>
      </c>
      <c r="R33">
        <f t="shared" si="47"/>
        <v>6932.3893421169305</v>
      </c>
      <c r="S33">
        <f t="shared" si="48"/>
        <v>98937843.544753</v>
      </c>
      <c r="T33">
        <f t="shared" si="49"/>
        <v>119.46474135158041</v>
      </c>
      <c r="U33">
        <f t="shared" si="50"/>
        <v>133.93072984532381</v>
      </c>
      <c r="W33">
        <f t="shared" si="51"/>
        <v>1.7041058565310341</v>
      </c>
      <c r="X33">
        <f t="shared" si="52"/>
        <v>2253.0265361880024</v>
      </c>
      <c r="Y33">
        <v>700.9</v>
      </c>
      <c r="Z33">
        <f t="shared" si="1"/>
        <v>0.31109265192494556</v>
      </c>
      <c r="AA33" t="str">
        <f t="shared" si="19"/>
        <v>MC-R32</v>
      </c>
      <c r="AB33">
        <f t="shared" si="37"/>
        <v>490</v>
      </c>
      <c r="AC33">
        <f t="shared" si="42"/>
        <v>517.02058150931066</v>
      </c>
      <c r="AD33">
        <f t="shared" si="39"/>
        <v>519.7880493042129</v>
      </c>
      <c r="AE33">
        <f t="shared" si="40"/>
        <v>325.88344850615891</v>
      </c>
      <c r="AF33">
        <f t="shared" si="41"/>
        <v>473.25094511267991</v>
      </c>
      <c r="AG33">
        <f t="shared" si="7"/>
        <v>2320.0936837157406</v>
      </c>
      <c r="AH33">
        <f t="shared" si="8"/>
        <v>0.30209986989726867</v>
      </c>
    </row>
    <row r="34" spans="1:34" x14ac:dyDescent="0.25">
      <c r="A34">
        <v>33</v>
      </c>
      <c r="B34">
        <v>355</v>
      </c>
      <c r="C34">
        <v>205</v>
      </c>
      <c r="D34">
        <v>0.2</v>
      </c>
      <c r="E34">
        <v>18000</v>
      </c>
      <c r="F34">
        <v>270</v>
      </c>
      <c r="G34">
        <f t="shared" si="43"/>
        <v>300</v>
      </c>
      <c r="H34">
        <v>6</v>
      </c>
      <c r="I34">
        <f t="shared" si="44"/>
        <v>45</v>
      </c>
      <c r="J34">
        <f t="shared" si="53"/>
        <v>0.94604146249571819</v>
      </c>
      <c r="K34">
        <f t="shared" si="45"/>
        <v>1.35</v>
      </c>
      <c r="L34">
        <f t="shared" si="24"/>
        <v>18</v>
      </c>
      <c r="M34">
        <v>2.5</v>
      </c>
      <c r="N34">
        <f t="shared" si="46"/>
        <v>325</v>
      </c>
      <c r="O34">
        <f t="shared" si="54"/>
        <v>203400</v>
      </c>
      <c r="P34">
        <f t="shared" si="55"/>
        <v>6480</v>
      </c>
      <c r="Q34">
        <f t="shared" si="56"/>
        <v>452.38934211693021</v>
      </c>
      <c r="R34">
        <f t="shared" si="47"/>
        <v>6932.3893421169305</v>
      </c>
      <c r="S34">
        <f t="shared" si="48"/>
        <v>98937843.544753</v>
      </c>
      <c r="T34">
        <f t="shared" si="49"/>
        <v>119.46474135158041</v>
      </c>
      <c r="U34">
        <f t="shared" si="50"/>
        <v>150.67207107598929</v>
      </c>
      <c r="W34">
        <f t="shared" si="51"/>
        <v>1.9171190885974134</v>
      </c>
      <c r="X34">
        <f t="shared" si="52"/>
        <v>2253.0265361880024</v>
      </c>
      <c r="Y34">
        <v>554.29999999999995</v>
      </c>
      <c r="Z34">
        <f t="shared" si="1"/>
        <v>0.24602462114709275</v>
      </c>
      <c r="AA34" t="str">
        <f t="shared" si="19"/>
        <v>MC-R33</v>
      </c>
      <c r="AB34">
        <f t="shared" si="37"/>
        <v>490</v>
      </c>
      <c r="AC34">
        <f t="shared" si="42"/>
        <v>517.02058150931066</v>
      </c>
      <c r="AD34">
        <f t="shared" si="39"/>
        <v>519.7880493042129</v>
      </c>
      <c r="AE34">
        <f t="shared" si="40"/>
        <v>325.88344850615891</v>
      </c>
      <c r="AF34">
        <f t="shared" si="41"/>
        <v>473.25094511267991</v>
      </c>
      <c r="AG34">
        <f t="shared" si="7"/>
        <v>2320.0936837157406</v>
      </c>
      <c r="AH34">
        <f t="shared" si="8"/>
        <v>0.23891276627772293</v>
      </c>
    </row>
    <row r="35" spans="1:34" x14ac:dyDescent="0.25">
      <c r="A35">
        <v>34</v>
      </c>
      <c r="B35">
        <v>355</v>
      </c>
      <c r="C35">
        <v>205</v>
      </c>
      <c r="D35">
        <v>0.8</v>
      </c>
      <c r="E35">
        <v>2000</v>
      </c>
      <c r="F35">
        <v>270</v>
      </c>
      <c r="G35">
        <f>F35+2*H35*M35</f>
        <v>300</v>
      </c>
      <c r="H35">
        <v>6</v>
      </c>
      <c r="I35">
        <f t="shared" si="44"/>
        <v>45</v>
      </c>
      <c r="J35">
        <f>SQRT(12*(1-0.3^2)*I35^2*N35/(4*PI()^2*O35))</f>
        <v>0.8203392106811157</v>
      </c>
      <c r="K35">
        <f>H35*I35/200</f>
        <v>1.35</v>
      </c>
      <c r="L35">
        <f t="shared" ref="L35:L67" si="57">E35/1000</f>
        <v>2</v>
      </c>
      <c r="M35">
        <v>2.5</v>
      </c>
      <c r="N35">
        <f>D35*C35+(1-D35)*B35</f>
        <v>235</v>
      </c>
      <c r="O35">
        <f>193000*D35+(1-D35)*206000</f>
        <v>195600</v>
      </c>
      <c r="P35">
        <f>H35*I35*H35*4</f>
        <v>6480</v>
      </c>
      <c r="Q35">
        <f>PI()*(M35*H35)^2-PI()*((M35-1)*H35)^2</f>
        <v>452.38934211693021</v>
      </c>
      <c r="R35">
        <f>P35+Q35</f>
        <v>6932.3893421169305</v>
      </c>
      <c r="S35">
        <f t="shared" si="48"/>
        <v>98937843.544753</v>
      </c>
      <c r="T35">
        <f>SQRT(S35/R35)</f>
        <v>119.46474135158041</v>
      </c>
      <c r="U35">
        <f>E35/T35</f>
        <v>16.741341230665476</v>
      </c>
      <c r="W35">
        <f>U35/PI()*SQRT(N35/O35)</f>
        <v>0.18470977603559083</v>
      </c>
      <c r="X35">
        <f>R35*N35/1000</f>
        <v>1629.1114953974786</v>
      </c>
      <c r="Y35">
        <v>1331.6</v>
      </c>
      <c r="Z35">
        <f t="shared" si="1"/>
        <v>0.81737806390906942</v>
      </c>
      <c r="AA35" t="str">
        <f t="shared" si="19"/>
        <v>MC-R34</v>
      </c>
      <c r="AB35">
        <f t="shared" si="37"/>
        <v>490</v>
      </c>
      <c r="AC35">
        <f t="shared" si="42"/>
        <v>517.02058150931066</v>
      </c>
      <c r="AD35">
        <f t="shared" si="39"/>
        <v>519.7880493042129</v>
      </c>
      <c r="AE35">
        <f t="shared" si="40"/>
        <v>325.88344850615891</v>
      </c>
      <c r="AF35">
        <f t="shared" si="41"/>
        <v>356.90818463384755</v>
      </c>
      <c r="AG35">
        <f t="shared" si="7"/>
        <v>1684.2614588426543</v>
      </c>
      <c r="AH35">
        <f t="shared" si="8"/>
        <v>0.79061359090589955</v>
      </c>
    </row>
    <row r="36" spans="1:34" x14ac:dyDescent="0.25">
      <c r="A36">
        <v>35</v>
      </c>
      <c r="B36">
        <v>355</v>
      </c>
      <c r="C36">
        <v>205</v>
      </c>
      <c r="D36">
        <v>0.8</v>
      </c>
      <c r="E36">
        <v>3000</v>
      </c>
      <c r="F36">
        <v>270</v>
      </c>
      <c r="G36">
        <f t="shared" ref="G36:G45" si="58">F36+2*H36*M36</f>
        <v>300</v>
      </c>
      <c r="H36">
        <v>6</v>
      </c>
      <c r="I36">
        <f t="shared" si="44"/>
        <v>45</v>
      </c>
      <c r="J36">
        <f>SQRT(12*(1-0.3^2)*I36^2*N36/(4*PI()^2*O36))</f>
        <v>0.8203392106811157</v>
      </c>
      <c r="K36">
        <f t="shared" ref="K36:K45" si="59">H36*I36/200</f>
        <v>1.35</v>
      </c>
      <c r="L36">
        <f t="shared" si="57"/>
        <v>3</v>
      </c>
      <c r="M36">
        <v>2.5</v>
      </c>
      <c r="N36">
        <f t="shared" ref="N36:N45" si="60">D36*C36+(1-D36)*B36</f>
        <v>235</v>
      </c>
      <c r="O36">
        <f>193000*D36+(1-D36)*206000</f>
        <v>195600</v>
      </c>
      <c r="P36">
        <f>H36*I36*H36*4</f>
        <v>6480</v>
      </c>
      <c r="Q36">
        <f>PI()*(M36*H36)^2-PI()*((M36-1)*H36)^2</f>
        <v>452.38934211693021</v>
      </c>
      <c r="R36">
        <f t="shared" ref="R36:R45" si="61">P36+Q36</f>
        <v>6932.3893421169305</v>
      </c>
      <c r="S36">
        <f t="shared" si="48"/>
        <v>98937843.544753</v>
      </c>
      <c r="T36">
        <f t="shared" ref="T36:T45" si="62">SQRT(S36/R36)</f>
        <v>119.46474135158041</v>
      </c>
      <c r="U36">
        <f t="shared" ref="U36:U45" si="63">E36/T36</f>
        <v>25.112011845998214</v>
      </c>
      <c r="W36">
        <f t="shared" ref="W36:W45" si="64">U36/PI()*SQRT(N36/O36)</f>
        <v>0.27706466405338626</v>
      </c>
      <c r="X36">
        <f t="shared" ref="X36:X45" si="65">R36*N36/1000</f>
        <v>1629.1114953974786</v>
      </c>
      <c r="Y36">
        <v>1341.9</v>
      </c>
      <c r="Z36">
        <f t="shared" si="1"/>
        <v>0.82370052865693932</v>
      </c>
      <c r="AA36" t="str">
        <f t="shared" si="19"/>
        <v>MC-R35</v>
      </c>
      <c r="AB36">
        <f t="shared" si="37"/>
        <v>490</v>
      </c>
      <c r="AC36">
        <f t="shared" si="42"/>
        <v>517.02058150931066</v>
      </c>
      <c r="AD36">
        <f t="shared" si="39"/>
        <v>519.7880493042129</v>
      </c>
      <c r="AE36">
        <f t="shared" si="40"/>
        <v>325.88344850615891</v>
      </c>
      <c r="AF36">
        <f t="shared" si="41"/>
        <v>356.90818463384755</v>
      </c>
      <c r="AG36">
        <f t="shared" si="7"/>
        <v>1684.2614588426543</v>
      </c>
      <c r="AH36">
        <f t="shared" si="8"/>
        <v>0.79672903096772818</v>
      </c>
    </row>
    <row r="37" spans="1:34" x14ac:dyDescent="0.25">
      <c r="A37">
        <v>36</v>
      </c>
      <c r="B37">
        <v>355</v>
      </c>
      <c r="C37">
        <v>205</v>
      </c>
      <c r="D37">
        <v>0.8</v>
      </c>
      <c r="E37">
        <v>4000</v>
      </c>
      <c r="F37">
        <v>270</v>
      </c>
      <c r="G37">
        <f t="shared" si="58"/>
        <v>300</v>
      </c>
      <c r="H37">
        <v>6</v>
      </c>
      <c r="I37">
        <f t="shared" si="44"/>
        <v>45</v>
      </c>
      <c r="J37">
        <f>SQRT(12*(1-0.3^2)*I37^2*N37/(4*PI()^2*O37))</f>
        <v>0.8203392106811157</v>
      </c>
      <c r="K37">
        <f t="shared" si="59"/>
        <v>1.35</v>
      </c>
      <c r="L37">
        <f t="shared" si="57"/>
        <v>4</v>
      </c>
      <c r="M37">
        <v>2.5</v>
      </c>
      <c r="N37">
        <f t="shared" si="60"/>
        <v>235</v>
      </c>
      <c r="O37">
        <f>193000*D37+(1-D37)*206000</f>
        <v>195600</v>
      </c>
      <c r="P37">
        <f>H37*I37*H37*4</f>
        <v>6480</v>
      </c>
      <c r="Q37">
        <f>PI()*(M37*H37)^2-PI()*((M37-1)*H37)^2</f>
        <v>452.38934211693021</v>
      </c>
      <c r="R37">
        <f t="shared" si="61"/>
        <v>6932.3893421169305</v>
      </c>
      <c r="S37">
        <f t="shared" si="48"/>
        <v>98937843.544753</v>
      </c>
      <c r="T37">
        <f t="shared" si="62"/>
        <v>119.46474135158041</v>
      </c>
      <c r="U37">
        <f t="shared" si="63"/>
        <v>33.482682461330953</v>
      </c>
      <c r="W37">
        <f t="shared" si="64"/>
        <v>0.36941955207118166</v>
      </c>
      <c r="X37">
        <f t="shared" si="65"/>
        <v>1629.1114953974786</v>
      </c>
      <c r="Y37">
        <v>1329</v>
      </c>
      <c r="Z37">
        <f t="shared" si="1"/>
        <v>0.81578210193387901</v>
      </c>
      <c r="AA37" t="str">
        <f t="shared" si="19"/>
        <v>MC-R36</v>
      </c>
      <c r="AB37">
        <f t="shared" si="37"/>
        <v>490</v>
      </c>
      <c r="AC37">
        <f t="shared" si="42"/>
        <v>517.02058150931066</v>
      </c>
      <c r="AD37">
        <f t="shared" si="39"/>
        <v>519.7880493042129</v>
      </c>
      <c r="AE37">
        <f t="shared" si="40"/>
        <v>325.88344850615891</v>
      </c>
      <c r="AF37">
        <f t="shared" si="41"/>
        <v>356.90818463384755</v>
      </c>
      <c r="AG37">
        <f t="shared" si="7"/>
        <v>1684.2614588426543</v>
      </c>
      <c r="AH37">
        <f t="shared" si="8"/>
        <v>0.78906988758932162</v>
      </c>
    </row>
    <row r="38" spans="1:34" x14ac:dyDescent="0.25">
      <c r="A38">
        <v>37</v>
      </c>
      <c r="B38">
        <v>355</v>
      </c>
      <c r="C38">
        <v>205</v>
      </c>
      <c r="D38">
        <v>0.8</v>
      </c>
      <c r="E38">
        <v>5000</v>
      </c>
      <c r="F38">
        <v>270</v>
      </c>
      <c r="G38">
        <f t="shared" si="58"/>
        <v>300</v>
      </c>
      <c r="H38">
        <v>6</v>
      </c>
      <c r="I38">
        <f t="shared" si="44"/>
        <v>45</v>
      </c>
      <c r="J38">
        <f t="shared" ref="J38:J45" si="66">SQRT(12*(1-0.3^2)*I38^2*N38/(4*PI()^2*O38))</f>
        <v>0.8203392106811157</v>
      </c>
      <c r="K38">
        <f t="shared" si="59"/>
        <v>1.35</v>
      </c>
      <c r="L38">
        <f t="shared" si="57"/>
        <v>5</v>
      </c>
      <c r="M38">
        <v>2.5</v>
      </c>
      <c r="N38">
        <f t="shared" si="60"/>
        <v>235</v>
      </c>
      <c r="O38">
        <f t="shared" ref="O38:O45" si="67">193000*D38+(1-D38)*206000</f>
        <v>195600</v>
      </c>
      <c r="P38">
        <f t="shared" ref="P38:P45" si="68">H38*I38*H38*4</f>
        <v>6480</v>
      </c>
      <c r="Q38">
        <f t="shared" ref="Q38:Q45" si="69">PI()*(M38*H38)^2-PI()*((M38-1)*H38)^2</f>
        <v>452.38934211693021</v>
      </c>
      <c r="R38">
        <f t="shared" si="61"/>
        <v>6932.3893421169305</v>
      </c>
      <c r="S38">
        <f t="shared" si="48"/>
        <v>98937843.544753</v>
      </c>
      <c r="T38">
        <f t="shared" si="62"/>
        <v>119.46474135158041</v>
      </c>
      <c r="U38">
        <f t="shared" si="63"/>
        <v>41.853353076663687</v>
      </c>
      <c r="W38">
        <f t="shared" si="64"/>
        <v>0.461774440088977</v>
      </c>
      <c r="X38">
        <f t="shared" si="65"/>
        <v>1629.1114953974786</v>
      </c>
      <c r="Y38">
        <v>1313.8</v>
      </c>
      <c r="Z38">
        <f t="shared" si="1"/>
        <v>0.80645186269430413</v>
      </c>
      <c r="AA38" t="str">
        <f t="shared" si="19"/>
        <v>MC-R37</v>
      </c>
      <c r="AB38">
        <f t="shared" si="37"/>
        <v>490</v>
      </c>
      <c r="AC38">
        <f t="shared" si="42"/>
        <v>517.02058150931066</v>
      </c>
      <c r="AD38">
        <f t="shared" si="39"/>
        <v>519.7880493042129</v>
      </c>
      <c r="AE38">
        <f t="shared" si="40"/>
        <v>325.88344850615891</v>
      </c>
      <c r="AF38">
        <f t="shared" si="41"/>
        <v>356.90818463384755</v>
      </c>
      <c r="AG38">
        <f t="shared" si="7"/>
        <v>1684.2614588426543</v>
      </c>
      <c r="AH38">
        <f t="shared" si="8"/>
        <v>0.78004516050778827</v>
      </c>
    </row>
    <row r="39" spans="1:34" x14ac:dyDescent="0.25">
      <c r="A39">
        <v>38</v>
      </c>
      <c r="B39">
        <v>355</v>
      </c>
      <c r="C39">
        <v>205</v>
      </c>
      <c r="D39">
        <v>0.8</v>
      </c>
      <c r="E39">
        <v>6000</v>
      </c>
      <c r="F39">
        <v>270</v>
      </c>
      <c r="G39">
        <f t="shared" si="58"/>
        <v>300</v>
      </c>
      <c r="H39">
        <v>6</v>
      </c>
      <c r="I39">
        <f t="shared" si="44"/>
        <v>45</v>
      </c>
      <c r="J39">
        <f t="shared" si="66"/>
        <v>0.8203392106811157</v>
      </c>
      <c r="K39">
        <f t="shared" si="59"/>
        <v>1.35</v>
      </c>
      <c r="L39">
        <f t="shared" si="57"/>
        <v>6</v>
      </c>
      <c r="M39">
        <v>2.5</v>
      </c>
      <c r="N39">
        <f t="shared" si="60"/>
        <v>235</v>
      </c>
      <c r="O39">
        <f t="shared" si="67"/>
        <v>195600</v>
      </c>
      <c r="P39">
        <f t="shared" si="68"/>
        <v>6480</v>
      </c>
      <c r="Q39">
        <f t="shared" si="69"/>
        <v>452.38934211693021</v>
      </c>
      <c r="R39">
        <f t="shared" si="61"/>
        <v>6932.3893421169305</v>
      </c>
      <c r="S39">
        <f t="shared" si="48"/>
        <v>98937843.544753</v>
      </c>
      <c r="T39">
        <f t="shared" si="62"/>
        <v>119.46474135158041</v>
      </c>
      <c r="U39">
        <f t="shared" si="63"/>
        <v>50.224023691996429</v>
      </c>
      <c r="W39">
        <f t="shared" si="64"/>
        <v>0.55412932810677251</v>
      </c>
      <c r="X39">
        <f t="shared" si="65"/>
        <v>1629.1114953974786</v>
      </c>
      <c r="Y39">
        <v>1298.5999999999999</v>
      </c>
      <c r="Z39">
        <f t="shared" si="1"/>
        <v>0.79712162345472926</v>
      </c>
      <c r="AA39" t="str">
        <f t="shared" si="19"/>
        <v>MC-R38</v>
      </c>
      <c r="AB39">
        <f t="shared" si="37"/>
        <v>490</v>
      </c>
      <c r="AC39">
        <f t="shared" si="42"/>
        <v>517.02058150931066</v>
      </c>
      <c r="AD39">
        <f t="shared" si="39"/>
        <v>519.7880493042129</v>
      </c>
      <c r="AE39">
        <f t="shared" si="40"/>
        <v>325.88344850615891</v>
      </c>
      <c r="AF39">
        <f t="shared" si="41"/>
        <v>356.90818463384755</v>
      </c>
      <c r="AG39">
        <f t="shared" si="7"/>
        <v>1684.2614588426543</v>
      </c>
      <c r="AH39">
        <f t="shared" si="8"/>
        <v>0.77102043342625504</v>
      </c>
    </row>
    <row r="40" spans="1:34" x14ac:dyDescent="0.25">
      <c r="A40">
        <v>39</v>
      </c>
      <c r="B40">
        <v>355</v>
      </c>
      <c r="C40">
        <v>205</v>
      </c>
      <c r="D40">
        <v>0.8</v>
      </c>
      <c r="E40">
        <v>8000</v>
      </c>
      <c r="F40">
        <v>270</v>
      </c>
      <c r="G40">
        <f t="shared" si="58"/>
        <v>300</v>
      </c>
      <c r="H40">
        <v>6</v>
      </c>
      <c r="I40">
        <f t="shared" si="44"/>
        <v>45</v>
      </c>
      <c r="J40">
        <f t="shared" si="66"/>
        <v>0.8203392106811157</v>
      </c>
      <c r="K40">
        <f t="shared" si="59"/>
        <v>1.35</v>
      </c>
      <c r="L40">
        <f t="shared" si="57"/>
        <v>8</v>
      </c>
      <c r="M40">
        <v>2.5</v>
      </c>
      <c r="N40">
        <f t="shared" si="60"/>
        <v>235</v>
      </c>
      <c r="O40">
        <f t="shared" si="67"/>
        <v>195600</v>
      </c>
      <c r="P40">
        <f t="shared" si="68"/>
        <v>6480</v>
      </c>
      <c r="Q40">
        <f t="shared" si="69"/>
        <v>452.38934211693021</v>
      </c>
      <c r="R40">
        <f t="shared" si="61"/>
        <v>6932.3893421169305</v>
      </c>
      <c r="S40">
        <f t="shared" si="48"/>
        <v>98937843.544753</v>
      </c>
      <c r="T40">
        <f t="shared" si="62"/>
        <v>119.46474135158041</v>
      </c>
      <c r="U40">
        <f t="shared" si="63"/>
        <v>66.965364922661905</v>
      </c>
      <c r="W40">
        <f t="shared" si="64"/>
        <v>0.73883910414236331</v>
      </c>
      <c r="X40">
        <f t="shared" si="65"/>
        <v>1629.1114953974786</v>
      </c>
      <c r="Y40">
        <v>1236</v>
      </c>
      <c r="Z40">
        <f t="shared" si="1"/>
        <v>0.75869576974437503</v>
      </c>
      <c r="AA40" t="str">
        <f t="shared" si="19"/>
        <v>MC-R39</v>
      </c>
      <c r="AB40">
        <f t="shared" si="37"/>
        <v>490</v>
      </c>
      <c r="AC40">
        <f t="shared" si="42"/>
        <v>517.02058150931066</v>
      </c>
      <c r="AD40">
        <f t="shared" si="39"/>
        <v>519.7880493042129</v>
      </c>
      <c r="AE40">
        <f t="shared" si="40"/>
        <v>325.88344850615891</v>
      </c>
      <c r="AF40">
        <f t="shared" si="41"/>
        <v>356.90818463384755</v>
      </c>
      <c r="AG40">
        <f t="shared" si="7"/>
        <v>1684.2614588426543</v>
      </c>
      <c r="AH40">
        <f t="shared" si="8"/>
        <v>0.73385280741941417</v>
      </c>
    </row>
    <row r="41" spans="1:34" x14ac:dyDescent="0.25">
      <c r="A41">
        <v>40</v>
      </c>
      <c r="B41">
        <v>355</v>
      </c>
      <c r="C41">
        <v>205</v>
      </c>
      <c r="D41">
        <v>0.8</v>
      </c>
      <c r="E41">
        <v>10000</v>
      </c>
      <c r="F41">
        <v>270</v>
      </c>
      <c r="G41">
        <f t="shared" si="58"/>
        <v>300</v>
      </c>
      <c r="H41">
        <v>6</v>
      </c>
      <c r="I41">
        <f t="shared" si="44"/>
        <v>45</v>
      </c>
      <c r="J41">
        <f t="shared" si="66"/>
        <v>0.8203392106811157</v>
      </c>
      <c r="K41">
        <f t="shared" si="59"/>
        <v>1.35</v>
      </c>
      <c r="L41">
        <f t="shared" si="57"/>
        <v>10</v>
      </c>
      <c r="M41">
        <v>2.5</v>
      </c>
      <c r="N41">
        <f t="shared" si="60"/>
        <v>235</v>
      </c>
      <c r="O41">
        <f t="shared" si="67"/>
        <v>195600</v>
      </c>
      <c r="P41">
        <f t="shared" si="68"/>
        <v>6480</v>
      </c>
      <c r="Q41">
        <f t="shared" si="69"/>
        <v>452.38934211693021</v>
      </c>
      <c r="R41">
        <f t="shared" si="61"/>
        <v>6932.3893421169305</v>
      </c>
      <c r="S41">
        <f t="shared" si="48"/>
        <v>98937843.544753</v>
      </c>
      <c r="T41">
        <f t="shared" si="62"/>
        <v>119.46474135158041</v>
      </c>
      <c r="U41">
        <f t="shared" si="63"/>
        <v>83.706706153327374</v>
      </c>
      <c r="W41">
        <f t="shared" si="64"/>
        <v>0.923548880177954</v>
      </c>
      <c r="X41">
        <f t="shared" si="65"/>
        <v>1629.1114953974786</v>
      </c>
      <c r="Y41">
        <v>1102.4000000000001</v>
      </c>
      <c r="Z41">
        <f t="shared" si="1"/>
        <v>0.67668787748074366</v>
      </c>
      <c r="AA41" t="str">
        <f t="shared" si="19"/>
        <v>MC-R40</v>
      </c>
      <c r="AB41">
        <f t="shared" si="37"/>
        <v>490</v>
      </c>
      <c r="AC41">
        <f t="shared" si="42"/>
        <v>517.02058150931066</v>
      </c>
      <c r="AD41">
        <f t="shared" si="39"/>
        <v>519.7880493042129</v>
      </c>
      <c r="AE41">
        <f t="shared" si="40"/>
        <v>325.88344850615891</v>
      </c>
      <c r="AF41">
        <f t="shared" si="41"/>
        <v>356.90818463384755</v>
      </c>
      <c r="AG41">
        <f t="shared" si="7"/>
        <v>1684.2614588426543</v>
      </c>
      <c r="AH41">
        <f t="shared" si="8"/>
        <v>0.65453020622909575</v>
      </c>
    </row>
    <row r="42" spans="1:34" x14ac:dyDescent="0.25">
      <c r="A42">
        <v>41</v>
      </c>
      <c r="B42">
        <v>355</v>
      </c>
      <c r="C42">
        <v>205</v>
      </c>
      <c r="D42">
        <v>0.8</v>
      </c>
      <c r="E42">
        <v>12000</v>
      </c>
      <c r="F42">
        <v>270</v>
      </c>
      <c r="G42">
        <f t="shared" si="58"/>
        <v>300</v>
      </c>
      <c r="H42">
        <v>6</v>
      </c>
      <c r="I42">
        <f t="shared" si="44"/>
        <v>45</v>
      </c>
      <c r="J42">
        <f t="shared" si="66"/>
        <v>0.8203392106811157</v>
      </c>
      <c r="K42">
        <f t="shared" si="59"/>
        <v>1.35</v>
      </c>
      <c r="L42">
        <f t="shared" si="57"/>
        <v>12</v>
      </c>
      <c r="M42">
        <v>2.5</v>
      </c>
      <c r="N42">
        <f t="shared" si="60"/>
        <v>235</v>
      </c>
      <c r="O42">
        <f t="shared" si="67"/>
        <v>195600</v>
      </c>
      <c r="P42">
        <f t="shared" si="68"/>
        <v>6480</v>
      </c>
      <c r="Q42">
        <f t="shared" si="69"/>
        <v>452.38934211693021</v>
      </c>
      <c r="R42">
        <f t="shared" si="61"/>
        <v>6932.3893421169305</v>
      </c>
      <c r="S42">
        <f t="shared" si="48"/>
        <v>98937843.544753</v>
      </c>
      <c r="T42">
        <f t="shared" si="62"/>
        <v>119.46474135158041</v>
      </c>
      <c r="U42">
        <f t="shared" si="63"/>
        <v>100.44804738399286</v>
      </c>
      <c r="W42">
        <f t="shared" si="64"/>
        <v>1.108258656213545</v>
      </c>
      <c r="X42">
        <f t="shared" si="65"/>
        <v>1629.1114953974786</v>
      </c>
      <c r="Y42">
        <v>998.3</v>
      </c>
      <c r="Z42">
        <f t="shared" si="1"/>
        <v>0.6127880153202343</v>
      </c>
      <c r="AA42" t="str">
        <f t="shared" si="19"/>
        <v>MC-R41</v>
      </c>
      <c r="AB42">
        <f t="shared" si="37"/>
        <v>490</v>
      </c>
      <c r="AC42">
        <f t="shared" si="42"/>
        <v>517.02058150931066</v>
      </c>
      <c r="AD42">
        <f t="shared" si="39"/>
        <v>519.7880493042129</v>
      </c>
      <c r="AE42">
        <f t="shared" si="40"/>
        <v>325.88344850615891</v>
      </c>
      <c r="AF42">
        <f t="shared" si="41"/>
        <v>356.90818463384755</v>
      </c>
      <c r="AG42">
        <f t="shared" si="7"/>
        <v>1684.2614588426543</v>
      </c>
      <c r="AH42">
        <f t="shared" si="8"/>
        <v>0.59272270036148966</v>
      </c>
    </row>
    <row r="43" spans="1:34" x14ac:dyDescent="0.25">
      <c r="A43">
        <v>42</v>
      </c>
      <c r="B43">
        <v>355</v>
      </c>
      <c r="C43">
        <v>205</v>
      </c>
      <c r="D43">
        <v>0.8</v>
      </c>
      <c r="E43">
        <v>14000</v>
      </c>
      <c r="F43">
        <v>270</v>
      </c>
      <c r="G43">
        <f t="shared" si="58"/>
        <v>300</v>
      </c>
      <c r="H43">
        <v>6</v>
      </c>
      <c r="I43">
        <f t="shared" si="44"/>
        <v>45</v>
      </c>
      <c r="J43">
        <f t="shared" si="66"/>
        <v>0.8203392106811157</v>
      </c>
      <c r="K43">
        <f t="shared" si="59"/>
        <v>1.35</v>
      </c>
      <c r="L43">
        <f t="shared" si="57"/>
        <v>14</v>
      </c>
      <c r="M43">
        <v>2.5</v>
      </c>
      <c r="N43">
        <f t="shared" si="60"/>
        <v>235</v>
      </c>
      <c r="O43">
        <f t="shared" si="67"/>
        <v>195600</v>
      </c>
      <c r="P43">
        <f t="shared" si="68"/>
        <v>6480</v>
      </c>
      <c r="Q43">
        <f t="shared" si="69"/>
        <v>452.38934211693021</v>
      </c>
      <c r="R43">
        <f t="shared" si="61"/>
        <v>6932.3893421169305</v>
      </c>
      <c r="S43">
        <f t="shared" si="48"/>
        <v>98937843.544753</v>
      </c>
      <c r="T43">
        <f t="shared" si="62"/>
        <v>119.46474135158041</v>
      </c>
      <c r="U43">
        <f t="shared" si="63"/>
        <v>117.18938861465833</v>
      </c>
      <c r="W43">
        <f t="shared" si="64"/>
        <v>1.2929684322491355</v>
      </c>
      <c r="X43">
        <f t="shared" si="65"/>
        <v>1629.1114953974786</v>
      </c>
      <c r="Y43">
        <v>801.4</v>
      </c>
      <c r="Z43">
        <f t="shared" si="1"/>
        <v>0.49192458727600497</v>
      </c>
      <c r="AA43" t="str">
        <f t="shared" si="19"/>
        <v>MC-R42</v>
      </c>
      <c r="AB43">
        <f t="shared" si="37"/>
        <v>490</v>
      </c>
      <c r="AC43">
        <f t="shared" si="42"/>
        <v>517.02058150931066</v>
      </c>
      <c r="AD43">
        <f t="shared" si="39"/>
        <v>519.7880493042129</v>
      </c>
      <c r="AE43">
        <f t="shared" si="40"/>
        <v>325.88344850615891</v>
      </c>
      <c r="AF43">
        <f t="shared" si="41"/>
        <v>356.90818463384755</v>
      </c>
      <c r="AG43">
        <f t="shared" si="7"/>
        <v>1684.2614588426543</v>
      </c>
      <c r="AH43">
        <f t="shared" si="8"/>
        <v>0.47581686073294377</v>
      </c>
    </row>
    <row r="44" spans="1:34" x14ac:dyDescent="0.25">
      <c r="A44">
        <v>43</v>
      </c>
      <c r="B44">
        <v>355</v>
      </c>
      <c r="C44">
        <v>205</v>
      </c>
      <c r="D44">
        <v>0.8</v>
      </c>
      <c r="E44">
        <v>16000</v>
      </c>
      <c r="F44">
        <v>270</v>
      </c>
      <c r="G44">
        <f t="shared" si="58"/>
        <v>300</v>
      </c>
      <c r="H44">
        <v>6</v>
      </c>
      <c r="I44">
        <f t="shared" si="44"/>
        <v>45</v>
      </c>
      <c r="J44">
        <f t="shared" si="66"/>
        <v>0.8203392106811157</v>
      </c>
      <c r="K44">
        <f t="shared" si="59"/>
        <v>1.35</v>
      </c>
      <c r="L44">
        <f t="shared" si="57"/>
        <v>16</v>
      </c>
      <c r="M44">
        <v>2.5</v>
      </c>
      <c r="N44">
        <f t="shared" si="60"/>
        <v>235</v>
      </c>
      <c r="O44">
        <f t="shared" si="67"/>
        <v>195600</v>
      </c>
      <c r="P44">
        <f t="shared" si="68"/>
        <v>6480</v>
      </c>
      <c r="Q44">
        <f t="shared" si="69"/>
        <v>452.38934211693021</v>
      </c>
      <c r="R44">
        <f t="shared" si="61"/>
        <v>6932.3893421169305</v>
      </c>
      <c r="S44">
        <f t="shared" si="48"/>
        <v>98937843.544753</v>
      </c>
      <c r="T44">
        <f t="shared" si="62"/>
        <v>119.46474135158041</v>
      </c>
      <c r="U44">
        <f t="shared" si="63"/>
        <v>133.93072984532381</v>
      </c>
      <c r="W44">
        <f t="shared" si="64"/>
        <v>1.4776782082847266</v>
      </c>
      <c r="X44">
        <f t="shared" si="65"/>
        <v>1629.1114953974786</v>
      </c>
      <c r="Y44">
        <v>644.20000000000005</v>
      </c>
      <c r="Z44">
        <f t="shared" ref="Z44:Z67" si="70">Y44/X44</f>
        <v>0.39543027092987576</v>
      </c>
      <c r="AA44" t="str">
        <f t="shared" si="19"/>
        <v>MC-R43</v>
      </c>
      <c r="AB44">
        <f t="shared" ref="AB44:AB67" si="71">IF(B44=235,360,IF(B44=355,490,560))</f>
        <v>490</v>
      </c>
      <c r="AC44">
        <f t="shared" si="42"/>
        <v>517.02058150931066</v>
      </c>
      <c r="AD44">
        <f t="shared" ref="AD44:AD67" si="72">B44*(2.769*(AB44/B44)-0.581*(AB44/B44)^2-1.182)/((M44-1)^(0.314*(AB44/B44)-0.32))</f>
        <v>519.7880493042129</v>
      </c>
      <c r="AE44">
        <f t="shared" ref="AE44:AE67" si="73">1.673*C44/(M44-1)^0.126</f>
        <v>325.88344850615891</v>
      </c>
      <c r="AF44">
        <f t="shared" ref="AF44:AF64" si="74">AD44*(1-((2*M44*H44-D44*H44)/(2*M44*H44-H44)*D44))+AE44*((2*M44*H44-D44*H44)/(2*M44*H44-H44)*D44)</f>
        <v>356.90818463384755</v>
      </c>
      <c r="AG44">
        <f t="shared" ref="AG44:AG67" si="75">(AF44*Q44+N44*P44)/1000</f>
        <v>1684.2614588426543</v>
      </c>
      <c r="AH44">
        <f t="shared" ref="AH44:AH67" si="76">Y44/AG44</f>
        <v>0.38248218328445521</v>
      </c>
    </row>
    <row r="45" spans="1:34" x14ac:dyDescent="0.25">
      <c r="A45">
        <v>44</v>
      </c>
      <c r="B45">
        <v>355</v>
      </c>
      <c r="C45">
        <v>205</v>
      </c>
      <c r="D45">
        <v>0.8</v>
      </c>
      <c r="E45">
        <v>18000</v>
      </c>
      <c r="F45">
        <v>270</v>
      </c>
      <c r="G45">
        <f t="shared" si="58"/>
        <v>300</v>
      </c>
      <c r="H45">
        <v>6</v>
      </c>
      <c r="I45">
        <f t="shared" si="44"/>
        <v>45</v>
      </c>
      <c r="J45">
        <f t="shared" si="66"/>
        <v>0.8203392106811157</v>
      </c>
      <c r="K45">
        <f t="shared" si="59"/>
        <v>1.35</v>
      </c>
      <c r="L45">
        <f t="shared" si="57"/>
        <v>18</v>
      </c>
      <c r="M45">
        <v>2.5</v>
      </c>
      <c r="N45">
        <f t="shared" si="60"/>
        <v>235</v>
      </c>
      <c r="O45">
        <f t="shared" si="67"/>
        <v>195600</v>
      </c>
      <c r="P45">
        <f t="shared" si="68"/>
        <v>6480</v>
      </c>
      <c r="Q45">
        <f t="shared" si="69"/>
        <v>452.38934211693021</v>
      </c>
      <c r="R45">
        <f t="shared" si="61"/>
        <v>6932.3893421169305</v>
      </c>
      <c r="S45">
        <f t="shared" si="48"/>
        <v>98937843.544753</v>
      </c>
      <c r="T45">
        <f t="shared" si="62"/>
        <v>119.46474135158041</v>
      </c>
      <c r="U45">
        <f t="shared" si="63"/>
        <v>150.67207107598929</v>
      </c>
      <c r="W45">
        <f t="shared" si="64"/>
        <v>1.6623879843203175</v>
      </c>
      <c r="X45">
        <f t="shared" si="65"/>
        <v>1629.1114953974786</v>
      </c>
      <c r="Y45">
        <v>524.6</v>
      </c>
      <c r="Z45">
        <f t="shared" si="70"/>
        <v>0.32201602007111585</v>
      </c>
      <c r="AA45" t="str">
        <f t="shared" ref="AA45:AA67" si="77">"MC-R"&amp;A45</f>
        <v>MC-R44</v>
      </c>
      <c r="AB45">
        <f t="shared" si="71"/>
        <v>490</v>
      </c>
      <c r="AC45">
        <f t="shared" ref="AC45" si="78">C45/(0.2+185*C45/193000)</f>
        <v>517.02058150931066</v>
      </c>
      <c r="AD45">
        <f t="shared" si="72"/>
        <v>519.7880493042129</v>
      </c>
      <c r="AE45">
        <f t="shared" si="73"/>
        <v>325.88344850615891</v>
      </c>
      <c r="AF45">
        <f t="shared" si="74"/>
        <v>356.90818463384755</v>
      </c>
      <c r="AG45">
        <f t="shared" si="75"/>
        <v>1684.2614588426543</v>
      </c>
      <c r="AH45">
        <f t="shared" si="76"/>
        <v>0.31147183072186463</v>
      </c>
    </row>
    <row r="46" spans="1:34" x14ac:dyDescent="0.25">
      <c r="A46">
        <v>45</v>
      </c>
      <c r="B46">
        <v>355</v>
      </c>
      <c r="C46">
        <v>205</v>
      </c>
      <c r="D46">
        <v>0.2</v>
      </c>
      <c r="E46">
        <v>2000</v>
      </c>
      <c r="F46">
        <v>270</v>
      </c>
      <c r="G46">
        <f>F46+2*H46*M46</f>
        <v>300</v>
      </c>
      <c r="H46">
        <v>6</v>
      </c>
      <c r="I46">
        <f>F46/H46</f>
        <v>45</v>
      </c>
      <c r="J46">
        <f>SQRT(12*(1-0.3^2)*I46^2*N46/(4*PI()^2*O46))</f>
        <v>0.94604146249571819</v>
      </c>
      <c r="K46">
        <f>H46*I46/200</f>
        <v>1.35</v>
      </c>
      <c r="L46">
        <f t="shared" si="57"/>
        <v>2</v>
      </c>
      <c r="M46">
        <v>2.5</v>
      </c>
      <c r="N46">
        <f>D46*C46+(1-D46)*B46</f>
        <v>325</v>
      </c>
      <c r="O46">
        <f>193000*D46+(1-D46)*206000</f>
        <v>203400</v>
      </c>
      <c r="P46">
        <f>H46*I46*H46*4</f>
        <v>6480</v>
      </c>
      <c r="Q46">
        <f>PI()*(M46*H46)^2-PI()*((M46-1)*H46)^2</f>
        <v>452.38934211693021</v>
      </c>
      <c r="R46">
        <f>P46+Q46</f>
        <v>6932.3893421169305</v>
      </c>
      <c r="S46">
        <f>1/12*H46*(H46*I46)^3*2+(1/12*(H46*I46)*H46^3+(H46*I46)*H46*(G46/2-H46/2)^2)*2+PI()/8*((M46*H46)^4-((M46-1)*H46)^4)*2+1/2*PI()*((M46*H46)^2-((M46-1)*H46)^2)*(-1*((4*((M46*H46)^3-((M46-1)*H46)^3))/(3*PI()*((M46*H46)^2-((M46-1)*H46)^2)))^2+1*((4*((M46*H46)^3-((M46-1)*H46)^3))/(3*PI()*((M46*H46)^2-((M46-1)*H46)^2))+H46*I46/2)^2)*2</f>
        <v>98937843.544753</v>
      </c>
      <c r="T46">
        <f>SQRT(S46/R46)</f>
        <v>119.46474135158041</v>
      </c>
      <c r="U46">
        <f>E46/T46</f>
        <v>16.741341230665476</v>
      </c>
      <c r="V46" t="s">
        <v>35</v>
      </c>
      <c r="W46">
        <f>U46/PI()*SQRT(N46/O46)</f>
        <v>0.21301323206637926</v>
      </c>
      <c r="X46">
        <f>R46*N46/1000</f>
        <v>2253.0265361880024</v>
      </c>
      <c r="Y46">
        <v>1670.1</v>
      </c>
      <c r="Z46">
        <f t="shared" si="70"/>
        <v>0.74126956481645245</v>
      </c>
      <c r="AA46" t="str">
        <f t="shared" si="77"/>
        <v>MC-R45</v>
      </c>
      <c r="AB46">
        <f t="shared" si="71"/>
        <v>490</v>
      </c>
      <c r="AC46">
        <f t="shared" ref="AC46:AC66" si="79">C46/(0.2+185*C46/193000)</f>
        <v>517.02058150931066</v>
      </c>
      <c r="AD46">
        <f t="shared" si="72"/>
        <v>519.7880493042129</v>
      </c>
      <c r="AE46">
        <f t="shared" si="73"/>
        <v>325.88344850615891</v>
      </c>
      <c r="AF46">
        <f t="shared" si="74"/>
        <v>473.25094511267991</v>
      </c>
      <c r="AG46">
        <f t="shared" si="75"/>
        <v>2320.0936837157406</v>
      </c>
      <c r="AH46">
        <f t="shared" si="76"/>
        <v>0.71984162179401967</v>
      </c>
    </row>
    <row r="47" spans="1:34" x14ac:dyDescent="0.25">
      <c r="A47">
        <v>46</v>
      </c>
      <c r="B47">
        <v>355</v>
      </c>
      <c r="C47">
        <v>205</v>
      </c>
      <c r="D47">
        <v>0.2</v>
      </c>
      <c r="E47">
        <v>3000</v>
      </c>
      <c r="F47">
        <v>270</v>
      </c>
      <c r="G47">
        <f t="shared" ref="G47:G56" si="80">F47+2*H47*M47</f>
        <v>300</v>
      </c>
      <c r="H47">
        <v>6</v>
      </c>
      <c r="I47">
        <f t="shared" ref="I47:I67" si="81">F47/H47</f>
        <v>45</v>
      </c>
      <c r="J47">
        <f>SQRT(12*(1-0.3^2)*I47^2*N47/(4*PI()^2*O47))</f>
        <v>0.94604146249571819</v>
      </c>
      <c r="K47">
        <f t="shared" ref="K47:K56" si="82">H47*I47/200</f>
        <v>1.35</v>
      </c>
      <c r="L47">
        <f t="shared" si="57"/>
        <v>3</v>
      </c>
      <c r="M47">
        <v>2.5</v>
      </c>
      <c r="N47">
        <f t="shared" ref="N47:N56" si="83">D47*C47+(1-D47)*B47</f>
        <v>325</v>
      </c>
      <c r="O47">
        <f>193000*D47+(1-D47)*206000</f>
        <v>203400</v>
      </c>
      <c r="P47">
        <f>H47*I47*H47*4</f>
        <v>6480</v>
      </c>
      <c r="Q47">
        <f>PI()*(M47*H47)^2-PI()*((M47-1)*H47)^2</f>
        <v>452.38934211693021</v>
      </c>
      <c r="R47">
        <f t="shared" ref="R47:R56" si="84">P47+Q47</f>
        <v>6932.3893421169305</v>
      </c>
      <c r="S47">
        <f t="shared" ref="S47:S67" si="85">1/12*H47*(H47*I47)^3*2+(1/12*(H47*I47)*H47^3+(H47*I47)*H47*(G47/2-H47/2)^2)*2+PI()/8*((M47*H47)^4-((M47-1)*H47)^4)*2+1/2*PI()*((M47*H47)^2-((M47-1)*H47)^2)*(-1*((4*((M47*H47)^3-((M47-1)*H47)^3))/(3*PI()*((M47*H47)^2-((M47-1)*H47)^2)))^2+1*((4*((M47*H47)^3-((M47-1)*H47)^3))/(3*PI()*((M47*H47)^2-((M47-1)*H47)^2))+H47*I47/2)^2)*2</f>
        <v>98937843.544753</v>
      </c>
      <c r="T47">
        <f t="shared" ref="T47:T56" si="86">SQRT(S47/R47)</f>
        <v>119.46474135158041</v>
      </c>
      <c r="U47">
        <f t="shared" ref="U47:U56" si="87">E47/T47</f>
        <v>25.112011845998214</v>
      </c>
      <c r="W47">
        <f t="shared" ref="W47:W56" si="88">U47/PI()*SQRT(N47/O47)</f>
        <v>0.3195198480995689</v>
      </c>
      <c r="X47">
        <f t="shared" ref="X47:X56" si="89">R47*N47/1000</f>
        <v>2253.0265361880024</v>
      </c>
      <c r="Y47">
        <v>1684.2</v>
      </c>
      <c r="Z47">
        <f t="shared" si="70"/>
        <v>0.74752781334283536</v>
      </c>
      <c r="AA47" t="str">
        <f t="shared" si="77"/>
        <v>MC-R46</v>
      </c>
      <c r="AB47">
        <f t="shared" si="71"/>
        <v>490</v>
      </c>
      <c r="AC47">
        <f t="shared" si="79"/>
        <v>517.02058150931066</v>
      </c>
      <c r="AD47">
        <f t="shared" si="72"/>
        <v>519.7880493042129</v>
      </c>
      <c r="AE47">
        <f t="shared" si="73"/>
        <v>325.88344850615891</v>
      </c>
      <c r="AF47">
        <f t="shared" si="74"/>
        <v>473.25094511267991</v>
      </c>
      <c r="AG47">
        <f t="shared" si="75"/>
        <v>2320.0936837157406</v>
      </c>
      <c r="AH47">
        <f t="shared" si="76"/>
        <v>0.72591896259235256</v>
      </c>
    </row>
    <row r="48" spans="1:34" x14ac:dyDescent="0.25">
      <c r="A48">
        <v>47</v>
      </c>
      <c r="B48">
        <v>355</v>
      </c>
      <c r="C48">
        <v>205</v>
      </c>
      <c r="D48">
        <v>0.2</v>
      </c>
      <c r="E48">
        <v>4000</v>
      </c>
      <c r="F48">
        <v>270</v>
      </c>
      <c r="G48">
        <f t="shared" si="80"/>
        <v>300</v>
      </c>
      <c r="H48">
        <v>6</v>
      </c>
      <c r="I48">
        <f t="shared" si="81"/>
        <v>45</v>
      </c>
      <c r="J48">
        <f>SQRT(12*(1-0.3^2)*I48^2*N48/(4*PI()^2*O48))</f>
        <v>0.94604146249571819</v>
      </c>
      <c r="K48">
        <f t="shared" si="82"/>
        <v>1.35</v>
      </c>
      <c r="L48">
        <f t="shared" si="57"/>
        <v>4</v>
      </c>
      <c r="M48">
        <v>2.5</v>
      </c>
      <c r="N48">
        <f t="shared" si="83"/>
        <v>325</v>
      </c>
      <c r="O48">
        <f>193000*D48+(1-D48)*206000</f>
        <v>203400</v>
      </c>
      <c r="P48">
        <f>H48*I48*H48*4</f>
        <v>6480</v>
      </c>
      <c r="Q48">
        <f>PI()*(M48*H48)^2-PI()*((M48-1)*H48)^2</f>
        <v>452.38934211693021</v>
      </c>
      <c r="R48">
        <f t="shared" si="84"/>
        <v>6932.3893421169305</v>
      </c>
      <c r="S48">
        <f t="shared" si="85"/>
        <v>98937843.544753</v>
      </c>
      <c r="T48">
        <f t="shared" si="86"/>
        <v>119.46474135158041</v>
      </c>
      <c r="U48">
        <f t="shared" si="87"/>
        <v>33.482682461330953</v>
      </c>
      <c r="W48">
        <f t="shared" si="88"/>
        <v>0.42602646413275852</v>
      </c>
      <c r="X48">
        <f t="shared" si="89"/>
        <v>2253.0265361880024</v>
      </c>
      <c r="Y48">
        <v>1690.1</v>
      </c>
      <c r="Z48">
        <f t="shared" si="70"/>
        <v>0.75014651308082536</v>
      </c>
      <c r="AA48" t="str">
        <f t="shared" si="77"/>
        <v>MC-R47</v>
      </c>
      <c r="AB48">
        <f t="shared" si="71"/>
        <v>490</v>
      </c>
      <c r="AC48">
        <f t="shared" si="79"/>
        <v>517.02058150931066</v>
      </c>
      <c r="AD48">
        <f t="shared" si="72"/>
        <v>519.7880493042129</v>
      </c>
      <c r="AE48">
        <f t="shared" si="73"/>
        <v>325.88344850615891</v>
      </c>
      <c r="AF48">
        <f t="shared" si="74"/>
        <v>473.25094511267991</v>
      </c>
      <c r="AG48">
        <f t="shared" si="75"/>
        <v>2320.0936837157406</v>
      </c>
      <c r="AH48">
        <f t="shared" si="76"/>
        <v>0.72846196335193858</v>
      </c>
    </row>
    <row r="49" spans="1:34" x14ac:dyDescent="0.25">
      <c r="A49">
        <v>48</v>
      </c>
      <c r="B49">
        <v>355</v>
      </c>
      <c r="C49">
        <v>205</v>
      </c>
      <c r="D49">
        <v>0.2</v>
      </c>
      <c r="E49">
        <v>5000</v>
      </c>
      <c r="F49">
        <v>270</v>
      </c>
      <c r="G49">
        <f t="shared" si="80"/>
        <v>300</v>
      </c>
      <c r="H49">
        <v>6</v>
      </c>
      <c r="I49">
        <f t="shared" si="81"/>
        <v>45</v>
      </c>
      <c r="J49">
        <f t="shared" ref="J49:J56" si="90">SQRT(12*(1-0.3^2)*I49^2*N49/(4*PI()^2*O49))</f>
        <v>0.94604146249571819</v>
      </c>
      <c r="K49">
        <f t="shared" si="82"/>
        <v>1.35</v>
      </c>
      <c r="L49">
        <f t="shared" si="57"/>
        <v>5</v>
      </c>
      <c r="M49">
        <v>2.5</v>
      </c>
      <c r="N49">
        <f t="shared" si="83"/>
        <v>325</v>
      </c>
      <c r="O49">
        <f t="shared" ref="O49:O56" si="91">193000*D49+(1-D49)*206000</f>
        <v>203400</v>
      </c>
      <c r="P49">
        <f t="shared" ref="P49:P56" si="92">H49*I49*H49*4</f>
        <v>6480</v>
      </c>
      <c r="Q49">
        <f t="shared" ref="Q49:Q56" si="93">PI()*(M49*H49)^2-PI()*((M49-1)*H49)^2</f>
        <v>452.38934211693021</v>
      </c>
      <c r="R49">
        <f t="shared" si="84"/>
        <v>6932.3893421169305</v>
      </c>
      <c r="S49">
        <f t="shared" si="85"/>
        <v>98937843.544753</v>
      </c>
      <c r="T49">
        <f t="shared" si="86"/>
        <v>119.46474135158041</v>
      </c>
      <c r="U49">
        <f t="shared" si="87"/>
        <v>41.853353076663687</v>
      </c>
      <c r="W49">
        <f t="shared" si="88"/>
        <v>0.53253308016594814</v>
      </c>
      <c r="X49">
        <f t="shared" si="89"/>
        <v>2253.0265361880024</v>
      </c>
      <c r="Y49">
        <v>1709.4</v>
      </c>
      <c r="Z49">
        <f t="shared" si="70"/>
        <v>0.75871276815594513</v>
      </c>
      <c r="AA49" t="str">
        <f t="shared" si="77"/>
        <v>MC-R48</v>
      </c>
      <c r="AB49">
        <f t="shared" si="71"/>
        <v>490</v>
      </c>
      <c r="AC49">
        <f t="shared" si="79"/>
        <v>517.02058150931066</v>
      </c>
      <c r="AD49">
        <f t="shared" si="72"/>
        <v>519.7880493042129</v>
      </c>
      <c r="AE49">
        <f t="shared" si="73"/>
        <v>325.88344850615891</v>
      </c>
      <c r="AF49">
        <f t="shared" si="74"/>
        <v>473.25094511267991</v>
      </c>
      <c r="AG49">
        <f t="shared" si="75"/>
        <v>2320.0936837157406</v>
      </c>
      <c r="AH49">
        <f t="shared" si="76"/>
        <v>0.73678059295533038</v>
      </c>
    </row>
    <row r="50" spans="1:34" x14ac:dyDescent="0.25">
      <c r="A50">
        <v>49</v>
      </c>
      <c r="B50">
        <v>355</v>
      </c>
      <c r="C50">
        <v>205</v>
      </c>
      <c r="D50">
        <v>0.2</v>
      </c>
      <c r="E50">
        <v>6000</v>
      </c>
      <c r="F50">
        <v>270</v>
      </c>
      <c r="G50">
        <f t="shared" si="80"/>
        <v>300</v>
      </c>
      <c r="H50">
        <v>6</v>
      </c>
      <c r="I50">
        <f t="shared" si="81"/>
        <v>45</v>
      </c>
      <c r="J50">
        <f t="shared" si="90"/>
        <v>0.94604146249571819</v>
      </c>
      <c r="K50">
        <f t="shared" si="82"/>
        <v>1.35</v>
      </c>
      <c r="L50">
        <f t="shared" si="57"/>
        <v>6</v>
      </c>
      <c r="M50">
        <v>2.5</v>
      </c>
      <c r="N50">
        <f t="shared" si="83"/>
        <v>325</v>
      </c>
      <c r="O50">
        <f t="shared" si="91"/>
        <v>203400</v>
      </c>
      <c r="P50">
        <f t="shared" si="92"/>
        <v>6480</v>
      </c>
      <c r="Q50">
        <f t="shared" si="93"/>
        <v>452.38934211693021</v>
      </c>
      <c r="R50">
        <f t="shared" si="84"/>
        <v>6932.3893421169305</v>
      </c>
      <c r="S50">
        <f t="shared" si="85"/>
        <v>98937843.544753</v>
      </c>
      <c r="T50">
        <f t="shared" si="86"/>
        <v>119.46474135158041</v>
      </c>
      <c r="U50">
        <f t="shared" si="87"/>
        <v>50.224023691996429</v>
      </c>
      <c r="W50">
        <f t="shared" si="88"/>
        <v>0.63903969619913781</v>
      </c>
      <c r="X50">
        <f t="shared" si="89"/>
        <v>2253.0265361880024</v>
      </c>
      <c r="Y50">
        <v>1729.3</v>
      </c>
      <c r="Z50">
        <f t="shared" si="70"/>
        <v>0.76754533167899608</v>
      </c>
      <c r="AA50" t="str">
        <f t="shared" si="77"/>
        <v>MC-R49</v>
      </c>
      <c r="AB50">
        <f t="shared" si="71"/>
        <v>490</v>
      </c>
      <c r="AC50">
        <f t="shared" si="79"/>
        <v>517.02058150931066</v>
      </c>
      <c r="AD50">
        <f t="shared" si="72"/>
        <v>519.7880493042129</v>
      </c>
      <c r="AE50">
        <f t="shared" si="73"/>
        <v>325.88344850615891</v>
      </c>
      <c r="AF50">
        <f t="shared" si="74"/>
        <v>473.25094511267991</v>
      </c>
      <c r="AG50">
        <f t="shared" si="75"/>
        <v>2320.0936837157406</v>
      </c>
      <c r="AH50">
        <f t="shared" si="76"/>
        <v>0.74535783280545964</v>
      </c>
    </row>
    <row r="51" spans="1:34" x14ac:dyDescent="0.25">
      <c r="A51">
        <v>50</v>
      </c>
      <c r="B51">
        <v>355</v>
      </c>
      <c r="C51">
        <v>205</v>
      </c>
      <c r="D51">
        <v>0.2</v>
      </c>
      <c r="E51">
        <v>8000</v>
      </c>
      <c r="F51">
        <v>270</v>
      </c>
      <c r="G51">
        <f t="shared" si="80"/>
        <v>300</v>
      </c>
      <c r="H51">
        <v>6</v>
      </c>
      <c r="I51">
        <f t="shared" si="81"/>
        <v>45</v>
      </c>
      <c r="J51">
        <f t="shared" si="90"/>
        <v>0.94604146249571819</v>
      </c>
      <c r="K51">
        <f t="shared" si="82"/>
        <v>1.35</v>
      </c>
      <c r="L51">
        <f t="shared" si="57"/>
        <v>8</v>
      </c>
      <c r="M51">
        <v>2.5</v>
      </c>
      <c r="N51">
        <f t="shared" si="83"/>
        <v>325</v>
      </c>
      <c r="O51">
        <f t="shared" si="91"/>
        <v>203400</v>
      </c>
      <c r="P51">
        <f t="shared" si="92"/>
        <v>6480</v>
      </c>
      <c r="Q51">
        <f t="shared" si="93"/>
        <v>452.38934211693021</v>
      </c>
      <c r="R51">
        <f t="shared" si="84"/>
        <v>6932.3893421169305</v>
      </c>
      <c r="S51">
        <f t="shared" si="85"/>
        <v>98937843.544753</v>
      </c>
      <c r="T51">
        <f t="shared" si="86"/>
        <v>119.46474135158041</v>
      </c>
      <c r="U51">
        <f t="shared" si="87"/>
        <v>66.965364922661905</v>
      </c>
      <c r="W51">
        <f t="shared" si="88"/>
        <v>0.85205292826551704</v>
      </c>
      <c r="X51">
        <f t="shared" si="89"/>
        <v>2253.0265361880024</v>
      </c>
      <c r="Y51">
        <v>1769.5</v>
      </c>
      <c r="Z51">
        <f t="shared" si="70"/>
        <v>0.78538799769038548</v>
      </c>
      <c r="AA51" t="str">
        <f t="shared" si="77"/>
        <v>MC-R50</v>
      </c>
      <c r="AB51">
        <f t="shared" si="71"/>
        <v>490</v>
      </c>
      <c r="AC51">
        <f t="shared" si="79"/>
        <v>517.02058150931066</v>
      </c>
      <c r="AD51">
        <f t="shared" si="72"/>
        <v>519.7880493042129</v>
      </c>
      <c r="AE51">
        <f t="shared" si="73"/>
        <v>325.88344850615891</v>
      </c>
      <c r="AF51">
        <f t="shared" si="74"/>
        <v>473.25094511267991</v>
      </c>
      <c r="AG51">
        <f t="shared" si="75"/>
        <v>2320.0936837157406</v>
      </c>
      <c r="AH51">
        <f t="shared" si="76"/>
        <v>0.76268471933687676</v>
      </c>
    </row>
    <row r="52" spans="1:34" x14ac:dyDescent="0.25">
      <c r="A52">
        <v>51</v>
      </c>
      <c r="B52">
        <v>355</v>
      </c>
      <c r="C52">
        <v>205</v>
      </c>
      <c r="D52">
        <v>0.2</v>
      </c>
      <c r="E52">
        <v>10000</v>
      </c>
      <c r="F52">
        <v>270</v>
      </c>
      <c r="G52">
        <f t="shared" si="80"/>
        <v>300</v>
      </c>
      <c r="H52">
        <v>6</v>
      </c>
      <c r="I52">
        <f t="shared" si="81"/>
        <v>45</v>
      </c>
      <c r="J52">
        <f t="shared" si="90"/>
        <v>0.94604146249571819</v>
      </c>
      <c r="K52">
        <f t="shared" si="82"/>
        <v>1.35</v>
      </c>
      <c r="L52">
        <f t="shared" si="57"/>
        <v>10</v>
      </c>
      <c r="M52">
        <v>2.5</v>
      </c>
      <c r="N52">
        <f t="shared" si="83"/>
        <v>325</v>
      </c>
      <c r="O52">
        <f t="shared" si="91"/>
        <v>203400</v>
      </c>
      <c r="P52">
        <f t="shared" si="92"/>
        <v>6480</v>
      </c>
      <c r="Q52">
        <f t="shared" si="93"/>
        <v>452.38934211693021</v>
      </c>
      <c r="R52">
        <f t="shared" si="84"/>
        <v>6932.3893421169305</v>
      </c>
      <c r="S52">
        <f t="shared" si="85"/>
        <v>98937843.544753</v>
      </c>
      <c r="T52">
        <f t="shared" si="86"/>
        <v>119.46474135158041</v>
      </c>
      <c r="U52">
        <f t="shared" si="87"/>
        <v>83.706706153327374</v>
      </c>
      <c r="W52">
        <f t="shared" si="88"/>
        <v>1.0650661603318963</v>
      </c>
      <c r="X52">
        <f t="shared" si="89"/>
        <v>2253.0265361880024</v>
      </c>
      <c r="Y52" s="7">
        <v>1807</v>
      </c>
      <c r="Z52">
        <f t="shared" si="70"/>
        <v>0.80203227568608448</v>
      </c>
      <c r="AA52" t="str">
        <f t="shared" si="77"/>
        <v>MC-R51</v>
      </c>
      <c r="AB52">
        <f t="shared" si="71"/>
        <v>490</v>
      </c>
      <c r="AC52">
        <f t="shared" si="79"/>
        <v>517.02058150931066</v>
      </c>
      <c r="AD52">
        <f t="shared" si="72"/>
        <v>519.7880493042129</v>
      </c>
      <c r="AE52">
        <f t="shared" si="73"/>
        <v>325.88344850615891</v>
      </c>
      <c r="AF52">
        <f t="shared" si="74"/>
        <v>473.25094511267991</v>
      </c>
      <c r="AG52">
        <f t="shared" si="75"/>
        <v>2320.0936837157406</v>
      </c>
      <c r="AH52">
        <f t="shared" si="76"/>
        <v>0.77884785975797466</v>
      </c>
    </row>
    <row r="53" spans="1:34" x14ac:dyDescent="0.25">
      <c r="A53">
        <v>52</v>
      </c>
      <c r="B53">
        <v>355</v>
      </c>
      <c r="C53">
        <v>205</v>
      </c>
      <c r="D53">
        <v>0.2</v>
      </c>
      <c r="E53">
        <v>12000</v>
      </c>
      <c r="F53">
        <v>270</v>
      </c>
      <c r="G53">
        <f t="shared" si="80"/>
        <v>300</v>
      </c>
      <c r="H53">
        <v>6</v>
      </c>
      <c r="I53">
        <f t="shared" si="81"/>
        <v>45</v>
      </c>
      <c r="J53">
        <f t="shared" si="90"/>
        <v>0.94604146249571819</v>
      </c>
      <c r="K53">
        <f t="shared" si="82"/>
        <v>1.35</v>
      </c>
      <c r="L53">
        <f t="shared" si="57"/>
        <v>12</v>
      </c>
      <c r="M53">
        <v>2.5</v>
      </c>
      <c r="N53">
        <f t="shared" si="83"/>
        <v>325</v>
      </c>
      <c r="O53">
        <f t="shared" si="91"/>
        <v>203400</v>
      </c>
      <c r="P53">
        <f t="shared" si="92"/>
        <v>6480</v>
      </c>
      <c r="Q53">
        <f t="shared" si="93"/>
        <v>452.38934211693021</v>
      </c>
      <c r="R53">
        <f t="shared" si="84"/>
        <v>6932.3893421169305</v>
      </c>
      <c r="S53">
        <f t="shared" si="85"/>
        <v>98937843.544753</v>
      </c>
      <c r="T53">
        <f t="shared" si="86"/>
        <v>119.46474135158041</v>
      </c>
      <c r="U53">
        <f t="shared" si="87"/>
        <v>100.44804738399286</v>
      </c>
      <c r="W53">
        <f t="shared" si="88"/>
        <v>1.2780793923982756</v>
      </c>
      <c r="X53">
        <f t="shared" si="89"/>
        <v>2253.0265361880024</v>
      </c>
      <c r="Y53">
        <v>1687.7</v>
      </c>
      <c r="Z53">
        <f t="shared" si="70"/>
        <v>0.74908127928910062</v>
      </c>
      <c r="AA53" t="str">
        <f t="shared" si="77"/>
        <v>MC-R52</v>
      </c>
      <c r="AB53">
        <f t="shared" si="71"/>
        <v>490</v>
      </c>
      <c r="AC53">
        <f t="shared" si="79"/>
        <v>517.02058150931066</v>
      </c>
      <c r="AD53">
        <f t="shared" si="72"/>
        <v>519.7880493042129</v>
      </c>
      <c r="AE53">
        <f t="shared" si="73"/>
        <v>325.88344850615891</v>
      </c>
      <c r="AF53">
        <f t="shared" si="74"/>
        <v>473.25094511267991</v>
      </c>
      <c r="AG53">
        <f t="shared" si="75"/>
        <v>2320.0936837157406</v>
      </c>
      <c r="AH53">
        <f t="shared" si="76"/>
        <v>0.72742752236498831</v>
      </c>
    </row>
    <row r="54" spans="1:34" x14ac:dyDescent="0.25">
      <c r="A54">
        <v>53</v>
      </c>
      <c r="B54">
        <v>355</v>
      </c>
      <c r="C54">
        <v>205</v>
      </c>
      <c r="D54">
        <v>0.2</v>
      </c>
      <c r="E54">
        <v>14000</v>
      </c>
      <c r="F54">
        <v>270</v>
      </c>
      <c r="G54">
        <f t="shared" si="80"/>
        <v>300</v>
      </c>
      <c r="H54">
        <v>6</v>
      </c>
      <c r="I54">
        <f t="shared" si="81"/>
        <v>45</v>
      </c>
      <c r="J54">
        <f t="shared" si="90"/>
        <v>0.94604146249571819</v>
      </c>
      <c r="K54">
        <f t="shared" si="82"/>
        <v>1.35</v>
      </c>
      <c r="L54">
        <f t="shared" si="57"/>
        <v>14</v>
      </c>
      <c r="M54">
        <v>2.5</v>
      </c>
      <c r="N54">
        <f t="shared" si="83"/>
        <v>325</v>
      </c>
      <c r="O54">
        <f t="shared" si="91"/>
        <v>203400</v>
      </c>
      <c r="P54">
        <f t="shared" si="92"/>
        <v>6480</v>
      </c>
      <c r="Q54">
        <f t="shared" si="93"/>
        <v>452.38934211693021</v>
      </c>
      <c r="R54">
        <f t="shared" si="84"/>
        <v>6932.3893421169305</v>
      </c>
      <c r="S54">
        <f t="shared" si="85"/>
        <v>98937843.544753</v>
      </c>
      <c r="T54">
        <f t="shared" si="86"/>
        <v>119.46474135158041</v>
      </c>
      <c r="U54">
        <f t="shared" si="87"/>
        <v>117.18938861465833</v>
      </c>
      <c r="W54">
        <f t="shared" si="88"/>
        <v>1.4910926244646545</v>
      </c>
      <c r="X54">
        <f t="shared" si="89"/>
        <v>2253.0265361880024</v>
      </c>
      <c r="Y54">
        <v>1503.4</v>
      </c>
      <c r="Z54">
        <f t="shared" si="70"/>
        <v>0.66728020103290508</v>
      </c>
      <c r="AA54" t="str">
        <f t="shared" si="77"/>
        <v>MC-R53</v>
      </c>
      <c r="AB54">
        <f t="shared" si="71"/>
        <v>490</v>
      </c>
      <c r="AC54">
        <f t="shared" si="79"/>
        <v>517.02058150931066</v>
      </c>
      <c r="AD54">
        <f t="shared" si="72"/>
        <v>519.7880493042129</v>
      </c>
      <c r="AE54">
        <f t="shared" si="73"/>
        <v>325.88344850615891</v>
      </c>
      <c r="AF54">
        <f t="shared" si="74"/>
        <v>473.25094511267991</v>
      </c>
      <c r="AG54">
        <f t="shared" si="75"/>
        <v>2320.0936837157406</v>
      </c>
      <c r="AH54">
        <f t="shared" si="76"/>
        <v>0.64799107490876551</v>
      </c>
    </row>
    <row r="55" spans="1:34" x14ac:dyDescent="0.25">
      <c r="A55">
        <v>54</v>
      </c>
      <c r="B55">
        <v>355</v>
      </c>
      <c r="C55">
        <v>205</v>
      </c>
      <c r="D55">
        <v>0.2</v>
      </c>
      <c r="E55">
        <v>16000</v>
      </c>
      <c r="F55">
        <v>270</v>
      </c>
      <c r="G55">
        <f t="shared" si="80"/>
        <v>300</v>
      </c>
      <c r="H55">
        <v>6</v>
      </c>
      <c r="I55">
        <f t="shared" si="81"/>
        <v>45</v>
      </c>
      <c r="J55">
        <f t="shared" si="90"/>
        <v>0.94604146249571819</v>
      </c>
      <c r="K55">
        <f t="shared" si="82"/>
        <v>1.35</v>
      </c>
      <c r="L55">
        <f t="shared" si="57"/>
        <v>16</v>
      </c>
      <c r="M55">
        <v>2.5</v>
      </c>
      <c r="N55">
        <f t="shared" si="83"/>
        <v>325</v>
      </c>
      <c r="O55">
        <f t="shared" si="91"/>
        <v>203400</v>
      </c>
      <c r="P55">
        <f t="shared" si="92"/>
        <v>6480</v>
      </c>
      <c r="Q55">
        <f t="shared" si="93"/>
        <v>452.38934211693021</v>
      </c>
      <c r="R55">
        <f t="shared" si="84"/>
        <v>6932.3893421169305</v>
      </c>
      <c r="S55">
        <f t="shared" si="85"/>
        <v>98937843.544753</v>
      </c>
      <c r="T55">
        <f t="shared" si="86"/>
        <v>119.46474135158041</v>
      </c>
      <c r="U55">
        <f t="shared" si="87"/>
        <v>133.93072984532381</v>
      </c>
      <c r="W55">
        <f t="shared" si="88"/>
        <v>1.7041058565310341</v>
      </c>
      <c r="X55">
        <f t="shared" si="89"/>
        <v>2253.0265361880024</v>
      </c>
      <c r="Y55">
        <v>1314.1</v>
      </c>
      <c r="Z55">
        <f t="shared" si="70"/>
        <v>0.58325988571061627</v>
      </c>
      <c r="AA55" t="str">
        <f t="shared" si="77"/>
        <v>MC-R54</v>
      </c>
      <c r="AB55">
        <f t="shared" si="71"/>
        <v>490</v>
      </c>
      <c r="AC55">
        <f t="shared" si="79"/>
        <v>517.02058150931066</v>
      </c>
      <c r="AD55">
        <f t="shared" si="72"/>
        <v>519.7880493042129</v>
      </c>
      <c r="AE55">
        <f t="shared" si="73"/>
        <v>325.88344850615891</v>
      </c>
      <c r="AF55">
        <f t="shared" si="74"/>
        <v>473.25094511267991</v>
      </c>
      <c r="AG55">
        <f t="shared" si="75"/>
        <v>2320.0936837157406</v>
      </c>
      <c r="AH55">
        <f t="shared" si="76"/>
        <v>0.56639954206306276</v>
      </c>
    </row>
    <row r="56" spans="1:34" x14ac:dyDescent="0.25">
      <c r="A56">
        <v>55</v>
      </c>
      <c r="B56">
        <v>355</v>
      </c>
      <c r="C56">
        <v>205</v>
      </c>
      <c r="D56">
        <v>0.2</v>
      </c>
      <c r="E56">
        <v>18000</v>
      </c>
      <c r="F56">
        <v>270</v>
      </c>
      <c r="G56">
        <f t="shared" si="80"/>
        <v>300</v>
      </c>
      <c r="H56">
        <v>6</v>
      </c>
      <c r="I56">
        <f t="shared" si="81"/>
        <v>45</v>
      </c>
      <c r="J56">
        <f t="shared" si="90"/>
        <v>0.94604146249571819</v>
      </c>
      <c r="K56">
        <f t="shared" si="82"/>
        <v>1.35</v>
      </c>
      <c r="L56">
        <f t="shared" si="57"/>
        <v>18</v>
      </c>
      <c r="M56">
        <v>2.5</v>
      </c>
      <c r="N56">
        <f t="shared" si="83"/>
        <v>325</v>
      </c>
      <c r="O56">
        <f t="shared" si="91"/>
        <v>203400</v>
      </c>
      <c r="P56">
        <f t="shared" si="92"/>
        <v>6480</v>
      </c>
      <c r="Q56">
        <f t="shared" si="93"/>
        <v>452.38934211693021</v>
      </c>
      <c r="R56">
        <f t="shared" si="84"/>
        <v>6932.3893421169305</v>
      </c>
      <c r="S56">
        <f t="shared" si="85"/>
        <v>98937843.544753</v>
      </c>
      <c r="T56">
        <f t="shared" si="86"/>
        <v>119.46474135158041</v>
      </c>
      <c r="U56">
        <f t="shared" si="87"/>
        <v>150.67207107598929</v>
      </c>
      <c r="W56">
        <f t="shared" si="88"/>
        <v>1.9171190885974134</v>
      </c>
      <c r="X56">
        <f t="shared" si="89"/>
        <v>2253.0265361880024</v>
      </c>
      <c r="Y56">
        <v>1166.9000000000001</v>
      </c>
      <c r="Z56">
        <f t="shared" si="70"/>
        <v>0.51792554648483236</v>
      </c>
      <c r="AA56" t="str">
        <f t="shared" si="77"/>
        <v>MC-R55</v>
      </c>
      <c r="AB56">
        <f t="shared" si="71"/>
        <v>490</v>
      </c>
      <c r="AC56">
        <f t="shared" si="79"/>
        <v>517.02058150931066</v>
      </c>
      <c r="AD56">
        <f t="shared" si="72"/>
        <v>519.7880493042129</v>
      </c>
      <c r="AE56">
        <f t="shared" si="73"/>
        <v>325.88344850615891</v>
      </c>
      <c r="AF56">
        <f t="shared" si="74"/>
        <v>473.25094511267991</v>
      </c>
      <c r="AG56">
        <f t="shared" si="75"/>
        <v>2320.0936837157406</v>
      </c>
      <c r="AH56">
        <f t="shared" si="76"/>
        <v>0.50295382819677958</v>
      </c>
    </row>
    <row r="57" spans="1:34" x14ac:dyDescent="0.25">
      <c r="A57">
        <v>56</v>
      </c>
      <c r="B57">
        <v>355</v>
      </c>
      <c r="C57">
        <v>205</v>
      </c>
      <c r="D57">
        <v>0.8</v>
      </c>
      <c r="E57">
        <v>2000</v>
      </c>
      <c r="F57">
        <v>270</v>
      </c>
      <c r="G57">
        <f>F57+2*H57*M57</f>
        <v>300</v>
      </c>
      <c r="H57">
        <v>6</v>
      </c>
      <c r="I57">
        <f t="shared" si="81"/>
        <v>45</v>
      </c>
      <c r="J57">
        <f>SQRT(12*(1-0.3^2)*I57^2*N57/(4*PI()^2*O57))</f>
        <v>0.8203392106811157</v>
      </c>
      <c r="K57">
        <f>H57*I57/200</f>
        <v>1.35</v>
      </c>
      <c r="L57">
        <f t="shared" si="57"/>
        <v>2</v>
      </c>
      <c r="M57">
        <v>2.5</v>
      </c>
      <c r="N57">
        <f>D57*C57+(1-D57)*B57</f>
        <v>235</v>
      </c>
      <c r="O57">
        <f>193000*D57+(1-D57)*206000</f>
        <v>195600</v>
      </c>
      <c r="P57">
        <f>H57*I57*H57*4</f>
        <v>6480</v>
      </c>
      <c r="Q57">
        <f>PI()*(M57*H57)^2-PI()*((M57-1)*H57)^2</f>
        <v>452.38934211693021</v>
      </c>
      <c r="R57">
        <f>P57+Q57</f>
        <v>6932.3893421169305</v>
      </c>
      <c r="S57">
        <f t="shared" si="85"/>
        <v>98937843.544753</v>
      </c>
      <c r="T57">
        <f>SQRT(S57/R57)</f>
        <v>119.46474135158041</v>
      </c>
      <c r="U57">
        <f>E57/T57</f>
        <v>16.741341230665476</v>
      </c>
      <c r="W57">
        <f>U57/PI()*SQRT(N57/O57)</f>
        <v>0.18470977603559083</v>
      </c>
      <c r="X57">
        <f>R57*N57/1000</f>
        <v>1629.1114953974786</v>
      </c>
      <c r="Y57">
        <v>1306.8</v>
      </c>
      <c r="Z57">
        <f t="shared" si="70"/>
        <v>0.80215504199186838</v>
      </c>
      <c r="AA57" t="str">
        <f t="shared" si="77"/>
        <v>MC-R56</v>
      </c>
      <c r="AB57">
        <f t="shared" si="71"/>
        <v>490</v>
      </c>
      <c r="AC57">
        <f t="shared" si="79"/>
        <v>517.02058150931066</v>
      </c>
      <c r="AD57">
        <f t="shared" si="72"/>
        <v>519.7880493042129</v>
      </c>
      <c r="AE57">
        <f t="shared" si="73"/>
        <v>325.88344850615891</v>
      </c>
      <c r="AF57">
        <f t="shared" si="74"/>
        <v>356.90818463384755</v>
      </c>
      <c r="AG57">
        <f t="shared" si="75"/>
        <v>1684.2614588426543</v>
      </c>
      <c r="AH57">
        <f t="shared" si="76"/>
        <v>0.77588903619392435</v>
      </c>
    </row>
    <row r="58" spans="1:34" x14ac:dyDescent="0.25">
      <c r="A58">
        <v>57</v>
      </c>
      <c r="B58">
        <v>355</v>
      </c>
      <c r="C58">
        <v>205</v>
      </c>
      <c r="D58">
        <v>0.8</v>
      </c>
      <c r="E58">
        <v>3000</v>
      </c>
      <c r="F58">
        <v>270</v>
      </c>
      <c r="G58">
        <f t="shared" ref="G58:G67" si="94">F58+2*H58*M58</f>
        <v>300</v>
      </c>
      <c r="H58">
        <v>6</v>
      </c>
      <c r="I58">
        <f t="shared" si="81"/>
        <v>45</v>
      </c>
      <c r="J58">
        <f>SQRT(12*(1-0.3^2)*I58^2*N58/(4*PI()^2*O58))</f>
        <v>0.8203392106811157</v>
      </c>
      <c r="K58">
        <f t="shared" ref="K58:K67" si="95">H58*I58/200</f>
        <v>1.35</v>
      </c>
      <c r="L58">
        <f t="shared" si="57"/>
        <v>3</v>
      </c>
      <c r="M58">
        <v>2.5</v>
      </c>
      <c r="N58">
        <f t="shared" ref="N58:N67" si="96">D58*C58+(1-D58)*B58</f>
        <v>235</v>
      </c>
      <c r="O58">
        <f>193000*D58+(1-D58)*206000</f>
        <v>195600</v>
      </c>
      <c r="P58">
        <f>H58*I58*H58*4</f>
        <v>6480</v>
      </c>
      <c r="Q58">
        <f>PI()*(M58*H58)^2-PI()*((M58-1)*H58)^2</f>
        <v>452.38934211693021</v>
      </c>
      <c r="R58">
        <f t="shared" ref="R58:R67" si="97">P58+Q58</f>
        <v>6932.3893421169305</v>
      </c>
      <c r="S58">
        <f t="shared" si="85"/>
        <v>98937843.544753</v>
      </c>
      <c r="T58">
        <f t="shared" ref="T58:T67" si="98">SQRT(S58/R58)</f>
        <v>119.46474135158041</v>
      </c>
      <c r="U58">
        <f t="shared" ref="U58:U67" si="99">E58/T58</f>
        <v>25.112011845998214</v>
      </c>
      <c r="W58">
        <f t="shared" ref="W58:W67" si="100">U58/PI()*SQRT(N58/O58)</f>
        <v>0.27706466405338626</v>
      </c>
      <c r="X58">
        <f t="shared" ref="X58:X67" si="101">R58*N58/1000</f>
        <v>1629.1114953974786</v>
      </c>
      <c r="Y58">
        <v>1323.5</v>
      </c>
      <c r="Z58">
        <f t="shared" si="70"/>
        <v>0.81240602852482235</v>
      </c>
      <c r="AA58" t="str">
        <f t="shared" si="77"/>
        <v>MC-R57</v>
      </c>
      <c r="AB58">
        <f t="shared" si="71"/>
        <v>490</v>
      </c>
      <c r="AC58">
        <f t="shared" si="79"/>
        <v>517.02058150931066</v>
      </c>
      <c r="AD58">
        <f t="shared" si="72"/>
        <v>519.7880493042129</v>
      </c>
      <c r="AE58">
        <f t="shared" si="73"/>
        <v>325.88344850615891</v>
      </c>
      <c r="AF58">
        <f t="shared" si="74"/>
        <v>356.90818463384755</v>
      </c>
      <c r="AG58">
        <f t="shared" si="75"/>
        <v>1684.2614588426543</v>
      </c>
      <c r="AH58">
        <f t="shared" si="76"/>
        <v>0.78580436134271414</v>
      </c>
    </row>
    <row r="59" spans="1:34" x14ac:dyDescent="0.25">
      <c r="A59">
        <v>58</v>
      </c>
      <c r="B59">
        <v>355</v>
      </c>
      <c r="C59">
        <v>205</v>
      </c>
      <c r="D59">
        <v>0.8</v>
      </c>
      <c r="E59">
        <v>4000</v>
      </c>
      <c r="F59">
        <v>270</v>
      </c>
      <c r="G59">
        <f t="shared" si="94"/>
        <v>300</v>
      </c>
      <c r="H59">
        <v>6</v>
      </c>
      <c r="I59">
        <f t="shared" si="81"/>
        <v>45</v>
      </c>
      <c r="J59">
        <f>SQRT(12*(1-0.3^2)*I59^2*N59/(4*PI()^2*O59))</f>
        <v>0.8203392106811157</v>
      </c>
      <c r="K59">
        <f t="shared" si="95"/>
        <v>1.35</v>
      </c>
      <c r="L59">
        <f t="shared" si="57"/>
        <v>4</v>
      </c>
      <c r="M59">
        <v>2.5</v>
      </c>
      <c r="N59">
        <f t="shared" si="96"/>
        <v>235</v>
      </c>
      <c r="O59">
        <f>193000*D59+(1-D59)*206000</f>
        <v>195600</v>
      </c>
      <c r="P59">
        <f>H59*I59*H59*4</f>
        <v>6480</v>
      </c>
      <c r="Q59">
        <f>PI()*(M59*H59)^2-PI()*((M59-1)*H59)^2</f>
        <v>452.38934211693021</v>
      </c>
      <c r="R59">
        <f t="shared" si="97"/>
        <v>6932.3893421169305</v>
      </c>
      <c r="S59">
        <f t="shared" si="85"/>
        <v>98937843.544753</v>
      </c>
      <c r="T59">
        <f t="shared" si="98"/>
        <v>119.46474135158041</v>
      </c>
      <c r="U59">
        <f t="shared" si="99"/>
        <v>33.482682461330953</v>
      </c>
      <c r="W59">
        <f t="shared" si="100"/>
        <v>0.36941955207118166</v>
      </c>
      <c r="X59">
        <f t="shared" si="101"/>
        <v>1629.1114953974786</v>
      </c>
      <c r="Y59">
        <v>1325.8</v>
      </c>
      <c r="Z59">
        <f t="shared" si="70"/>
        <v>0.81381784104133692</v>
      </c>
      <c r="AA59" t="str">
        <f t="shared" si="77"/>
        <v>MC-R58</v>
      </c>
      <c r="AB59">
        <f t="shared" si="71"/>
        <v>490</v>
      </c>
      <c r="AC59">
        <f t="shared" si="79"/>
        <v>517.02058150931066</v>
      </c>
      <c r="AD59">
        <f t="shared" si="72"/>
        <v>519.7880493042129</v>
      </c>
      <c r="AE59">
        <f t="shared" si="73"/>
        <v>325.88344850615891</v>
      </c>
      <c r="AF59">
        <f t="shared" si="74"/>
        <v>356.90818463384755</v>
      </c>
      <c r="AG59">
        <f t="shared" si="75"/>
        <v>1684.2614588426543</v>
      </c>
      <c r="AH59">
        <f t="shared" si="76"/>
        <v>0.78716994504584092</v>
      </c>
    </row>
    <row r="60" spans="1:34" x14ac:dyDescent="0.25">
      <c r="A60">
        <v>59</v>
      </c>
      <c r="B60">
        <v>355</v>
      </c>
      <c r="C60">
        <v>205</v>
      </c>
      <c r="D60">
        <v>0.8</v>
      </c>
      <c r="E60">
        <v>5000</v>
      </c>
      <c r="F60">
        <v>270</v>
      </c>
      <c r="G60">
        <f t="shared" si="94"/>
        <v>300</v>
      </c>
      <c r="H60">
        <v>6</v>
      </c>
      <c r="I60">
        <f t="shared" si="81"/>
        <v>45</v>
      </c>
      <c r="J60">
        <f t="shared" ref="J60:J67" si="102">SQRT(12*(1-0.3^2)*I60^2*N60/(4*PI()^2*O60))</f>
        <v>0.8203392106811157</v>
      </c>
      <c r="K60">
        <f t="shared" si="95"/>
        <v>1.35</v>
      </c>
      <c r="L60">
        <f t="shared" si="57"/>
        <v>5</v>
      </c>
      <c r="M60">
        <v>2.5</v>
      </c>
      <c r="N60">
        <f t="shared" si="96"/>
        <v>235</v>
      </c>
      <c r="O60">
        <f t="shared" ref="O60:O67" si="103">193000*D60+(1-D60)*206000</f>
        <v>195600</v>
      </c>
      <c r="P60">
        <f t="shared" ref="P60:P67" si="104">H60*I60*H60*4</f>
        <v>6480</v>
      </c>
      <c r="Q60">
        <f t="shared" ref="Q60:Q67" si="105">PI()*(M60*H60)^2-PI()*((M60-1)*H60)^2</f>
        <v>452.38934211693021</v>
      </c>
      <c r="R60">
        <f t="shared" si="97"/>
        <v>6932.3893421169305</v>
      </c>
      <c r="S60">
        <f t="shared" si="85"/>
        <v>98937843.544753</v>
      </c>
      <c r="T60">
        <f t="shared" si="98"/>
        <v>119.46474135158041</v>
      </c>
      <c r="U60">
        <f t="shared" si="99"/>
        <v>41.853353076663687</v>
      </c>
      <c r="W60">
        <f t="shared" si="100"/>
        <v>0.461774440088977</v>
      </c>
      <c r="X60">
        <f t="shared" si="101"/>
        <v>1629.1114953974786</v>
      </c>
      <c r="Y60">
        <v>1332.4</v>
      </c>
      <c r="Z60">
        <f t="shared" si="70"/>
        <v>0.817869129132205</v>
      </c>
      <c r="AA60" t="str">
        <f t="shared" si="77"/>
        <v>MC-R59</v>
      </c>
      <c r="AB60">
        <f t="shared" si="71"/>
        <v>490</v>
      </c>
      <c r="AC60">
        <f t="shared" si="79"/>
        <v>517.02058150931066</v>
      </c>
      <c r="AD60">
        <f t="shared" si="72"/>
        <v>519.7880493042129</v>
      </c>
      <c r="AE60">
        <f t="shared" si="73"/>
        <v>325.88344850615891</v>
      </c>
      <c r="AF60">
        <f t="shared" si="74"/>
        <v>356.90818463384755</v>
      </c>
      <c r="AG60">
        <f t="shared" si="75"/>
        <v>1684.2614588426543</v>
      </c>
      <c r="AH60">
        <f t="shared" si="76"/>
        <v>0.79108857654176989</v>
      </c>
    </row>
    <row r="61" spans="1:34" x14ac:dyDescent="0.25">
      <c r="A61">
        <v>60</v>
      </c>
      <c r="B61">
        <v>355</v>
      </c>
      <c r="C61">
        <v>205</v>
      </c>
      <c r="D61">
        <v>0.8</v>
      </c>
      <c r="E61">
        <v>6000</v>
      </c>
      <c r="F61">
        <v>270</v>
      </c>
      <c r="G61">
        <f t="shared" si="94"/>
        <v>300</v>
      </c>
      <c r="H61">
        <v>6</v>
      </c>
      <c r="I61">
        <f t="shared" si="81"/>
        <v>45</v>
      </c>
      <c r="J61">
        <f t="shared" si="102"/>
        <v>0.8203392106811157</v>
      </c>
      <c r="K61">
        <f t="shared" si="95"/>
        <v>1.35</v>
      </c>
      <c r="L61">
        <f t="shared" si="57"/>
        <v>6</v>
      </c>
      <c r="M61">
        <v>2.5</v>
      </c>
      <c r="N61">
        <f t="shared" si="96"/>
        <v>235</v>
      </c>
      <c r="O61">
        <f t="shared" si="103"/>
        <v>195600</v>
      </c>
      <c r="P61">
        <f t="shared" si="104"/>
        <v>6480</v>
      </c>
      <c r="Q61">
        <f t="shared" si="105"/>
        <v>452.38934211693021</v>
      </c>
      <c r="R61">
        <f t="shared" si="97"/>
        <v>6932.3893421169305</v>
      </c>
      <c r="S61">
        <f t="shared" si="85"/>
        <v>98937843.544753</v>
      </c>
      <c r="T61">
        <f t="shared" si="98"/>
        <v>119.46474135158041</v>
      </c>
      <c r="U61">
        <f t="shared" si="99"/>
        <v>50.224023691996429</v>
      </c>
      <c r="W61">
        <f t="shared" si="100"/>
        <v>0.55412932810677251</v>
      </c>
      <c r="X61">
        <f t="shared" si="101"/>
        <v>1629.1114953974786</v>
      </c>
      <c r="Y61">
        <v>1341.3</v>
      </c>
      <c r="Z61">
        <f t="shared" si="70"/>
        <v>0.82333222973958764</v>
      </c>
      <c r="AA61" t="str">
        <f t="shared" si="77"/>
        <v>MC-R60</v>
      </c>
      <c r="AB61">
        <f t="shared" si="71"/>
        <v>490</v>
      </c>
      <c r="AC61">
        <f t="shared" si="79"/>
        <v>517.02058150931066</v>
      </c>
      <c r="AD61">
        <f t="shared" si="72"/>
        <v>519.7880493042129</v>
      </c>
      <c r="AE61">
        <f t="shared" si="73"/>
        <v>325.88344850615891</v>
      </c>
      <c r="AF61">
        <f t="shared" si="74"/>
        <v>356.90818463384755</v>
      </c>
      <c r="AG61">
        <f t="shared" si="75"/>
        <v>1684.2614588426543</v>
      </c>
      <c r="AH61">
        <f t="shared" si="76"/>
        <v>0.79637279174082543</v>
      </c>
    </row>
    <row r="62" spans="1:34" x14ac:dyDescent="0.25">
      <c r="A62">
        <v>61</v>
      </c>
      <c r="B62">
        <v>355</v>
      </c>
      <c r="C62">
        <v>205</v>
      </c>
      <c r="D62">
        <v>0.8</v>
      </c>
      <c r="E62">
        <v>8000</v>
      </c>
      <c r="F62">
        <v>270</v>
      </c>
      <c r="G62">
        <f t="shared" si="94"/>
        <v>300</v>
      </c>
      <c r="H62">
        <v>6</v>
      </c>
      <c r="I62">
        <f t="shared" si="81"/>
        <v>45</v>
      </c>
      <c r="J62">
        <f t="shared" si="102"/>
        <v>0.8203392106811157</v>
      </c>
      <c r="K62">
        <f t="shared" si="95"/>
        <v>1.35</v>
      </c>
      <c r="L62">
        <f t="shared" si="57"/>
        <v>8</v>
      </c>
      <c r="M62">
        <v>2.5</v>
      </c>
      <c r="N62">
        <f t="shared" si="96"/>
        <v>235</v>
      </c>
      <c r="O62">
        <f t="shared" si="103"/>
        <v>195600</v>
      </c>
      <c r="P62">
        <f t="shared" si="104"/>
        <v>6480</v>
      </c>
      <c r="Q62">
        <f t="shared" si="105"/>
        <v>452.38934211693021</v>
      </c>
      <c r="R62">
        <f t="shared" si="97"/>
        <v>6932.3893421169305</v>
      </c>
      <c r="S62">
        <f t="shared" si="85"/>
        <v>98937843.544753</v>
      </c>
      <c r="T62">
        <f t="shared" si="98"/>
        <v>119.46474135158041</v>
      </c>
      <c r="U62">
        <f t="shared" si="99"/>
        <v>66.965364922661905</v>
      </c>
      <c r="W62">
        <f t="shared" si="100"/>
        <v>0.73883910414236331</v>
      </c>
      <c r="X62">
        <f t="shared" si="101"/>
        <v>1629.1114953974786</v>
      </c>
      <c r="Y62">
        <v>1366.7</v>
      </c>
      <c r="Z62">
        <f t="shared" si="70"/>
        <v>0.83892355057414036</v>
      </c>
      <c r="AA62" t="str">
        <f t="shared" si="77"/>
        <v>MC-R61</v>
      </c>
      <c r="AB62">
        <f t="shared" si="71"/>
        <v>490</v>
      </c>
      <c r="AC62">
        <f t="shared" si="79"/>
        <v>517.02058150931066</v>
      </c>
      <c r="AD62">
        <f t="shared" si="72"/>
        <v>519.7880493042129</v>
      </c>
      <c r="AE62">
        <f t="shared" si="73"/>
        <v>325.88344850615891</v>
      </c>
      <c r="AF62">
        <f t="shared" si="74"/>
        <v>356.90818463384755</v>
      </c>
      <c r="AG62">
        <f t="shared" si="75"/>
        <v>1684.2614588426543</v>
      </c>
      <c r="AH62">
        <f t="shared" si="76"/>
        <v>0.81145358567970338</v>
      </c>
    </row>
    <row r="63" spans="1:34" x14ac:dyDescent="0.25">
      <c r="A63">
        <v>62</v>
      </c>
      <c r="B63">
        <v>355</v>
      </c>
      <c r="C63">
        <v>205</v>
      </c>
      <c r="D63">
        <v>0.8</v>
      </c>
      <c r="E63">
        <v>10000</v>
      </c>
      <c r="F63">
        <v>270</v>
      </c>
      <c r="G63">
        <f t="shared" si="94"/>
        <v>300</v>
      </c>
      <c r="H63">
        <v>6</v>
      </c>
      <c r="I63">
        <f t="shared" si="81"/>
        <v>45</v>
      </c>
      <c r="J63">
        <f t="shared" si="102"/>
        <v>0.8203392106811157</v>
      </c>
      <c r="K63">
        <f t="shared" si="95"/>
        <v>1.35</v>
      </c>
      <c r="L63">
        <f t="shared" si="57"/>
        <v>10</v>
      </c>
      <c r="M63">
        <v>2.5</v>
      </c>
      <c r="N63">
        <f t="shared" si="96"/>
        <v>235</v>
      </c>
      <c r="O63">
        <f t="shared" si="103"/>
        <v>195600</v>
      </c>
      <c r="P63">
        <f t="shared" si="104"/>
        <v>6480</v>
      </c>
      <c r="Q63">
        <f t="shared" si="105"/>
        <v>452.38934211693021</v>
      </c>
      <c r="R63">
        <f t="shared" si="97"/>
        <v>6932.3893421169305</v>
      </c>
      <c r="S63">
        <f t="shared" si="85"/>
        <v>98937843.544753</v>
      </c>
      <c r="T63">
        <f t="shared" si="98"/>
        <v>119.46474135158041</v>
      </c>
      <c r="U63">
        <f t="shared" si="99"/>
        <v>83.706706153327374</v>
      </c>
      <c r="W63">
        <f t="shared" si="100"/>
        <v>0.923548880177954</v>
      </c>
      <c r="X63">
        <f t="shared" si="101"/>
        <v>1629.1114953974786</v>
      </c>
      <c r="Y63">
        <v>1382.9</v>
      </c>
      <c r="Z63">
        <f t="shared" si="70"/>
        <v>0.8488676213426346</v>
      </c>
      <c r="AA63" t="str">
        <f t="shared" si="77"/>
        <v>MC-R62</v>
      </c>
      <c r="AB63">
        <f t="shared" si="71"/>
        <v>490</v>
      </c>
      <c r="AC63">
        <f t="shared" si="79"/>
        <v>517.02058150931066</v>
      </c>
      <c r="AD63">
        <f t="shared" si="72"/>
        <v>519.7880493042129</v>
      </c>
      <c r="AE63">
        <f t="shared" si="73"/>
        <v>325.88344850615891</v>
      </c>
      <c r="AF63">
        <f t="shared" si="74"/>
        <v>356.90818463384755</v>
      </c>
      <c r="AG63">
        <f t="shared" si="75"/>
        <v>1684.2614588426543</v>
      </c>
      <c r="AH63">
        <f t="shared" si="76"/>
        <v>0.82107204480607443</v>
      </c>
    </row>
    <row r="64" spans="1:34" x14ac:dyDescent="0.25">
      <c r="A64">
        <v>63</v>
      </c>
      <c r="B64">
        <v>355</v>
      </c>
      <c r="C64">
        <v>205</v>
      </c>
      <c r="D64">
        <v>0.8</v>
      </c>
      <c r="E64">
        <v>12000</v>
      </c>
      <c r="F64">
        <v>270</v>
      </c>
      <c r="G64">
        <f t="shared" si="94"/>
        <v>300</v>
      </c>
      <c r="H64">
        <v>6</v>
      </c>
      <c r="I64">
        <f t="shared" si="81"/>
        <v>45</v>
      </c>
      <c r="J64">
        <f t="shared" si="102"/>
        <v>0.8203392106811157</v>
      </c>
      <c r="K64">
        <f t="shared" si="95"/>
        <v>1.35</v>
      </c>
      <c r="L64">
        <f t="shared" si="57"/>
        <v>12</v>
      </c>
      <c r="M64">
        <v>2.5</v>
      </c>
      <c r="N64">
        <f t="shared" si="96"/>
        <v>235</v>
      </c>
      <c r="O64">
        <f t="shared" si="103"/>
        <v>195600</v>
      </c>
      <c r="P64">
        <f t="shared" si="104"/>
        <v>6480</v>
      </c>
      <c r="Q64">
        <f t="shared" si="105"/>
        <v>452.38934211693021</v>
      </c>
      <c r="R64">
        <f t="shared" si="97"/>
        <v>6932.3893421169305</v>
      </c>
      <c r="S64">
        <f t="shared" si="85"/>
        <v>98937843.544753</v>
      </c>
      <c r="T64">
        <f t="shared" si="98"/>
        <v>119.46474135158041</v>
      </c>
      <c r="U64">
        <f t="shared" si="99"/>
        <v>100.44804738399286</v>
      </c>
      <c r="W64">
        <f t="shared" si="100"/>
        <v>1.108258656213545</v>
      </c>
      <c r="X64">
        <f t="shared" si="101"/>
        <v>1629.1114953974786</v>
      </c>
      <c r="Y64" s="7">
        <v>1513.5</v>
      </c>
      <c r="Z64">
        <f t="shared" si="70"/>
        <v>0.92903401901950788</v>
      </c>
      <c r="AA64" t="str">
        <f t="shared" si="77"/>
        <v>MC-R63</v>
      </c>
      <c r="AB64">
        <f t="shared" si="71"/>
        <v>490</v>
      </c>
      <c r="AC64">
        <f t="shared" si="79"/>
        <v>517.02058150931066</v>
      </c>
      <c r="AD64">
        <f t="shared" si="72"/>
        <v>519.7880493042129</v>
      </c>
      <c r="AE64">
        <f t="shared" si="73"/>
        <v>325.88344850615891</v>
      </c>
      <c r="AF64">
        <f t="shared" si="74"/>
        <v>356.90818463384755</v>
      </c>
      <c r="AG64">
        <f t="shared" si="75"/>
        <v>1684.2614588426543</v>
      </c>
      <c r="AH64">
        <f t="shared" si="76"/>
        <v>0.89861344986187974</v>
      </c>
    </row>
    <row r="65" spans="1:34" x14ac:dyDescent="0.25">
      <c r="A65">
        <v>64</v>
      </c>
      <c r="B65">
        <v>355</v>
      </c>
      <c r="C65">
        <v>205</v>
      </c>
      <c r="D65">
        <v>0.8</v>
      </c>
      <c r="E65">
        <v>14000</v>
      </c>
      <c r="F65">
        <v>270</v>
      </c>
      <c r="G65">
        <f t="shared" si="94"/>
        <v>300</v>
      </c>
      <c r="H65">
        <v>6</v>
      </c>
      <c r="I65">
        <f t="shared" si="81"/>
        <v>45</v>
      </c>
      <c r="J65">
        <f t="shared" si="102"/>
        <v>0.8203392106811157</v>
      </c>
      <c r="K65">
        <f t="shared" si="95"/>
        <v>1.35</v>
      </c>
      <c r="L65">
        <f t="shared" si="57"/>
        <v>14</v>
      </c>
      <c r="M65">
        <v>2.5</v>
      </c>
      <c r="N65">
        <f t="shared" si="96"/>
        <v>235</v>
      </c>
      <c r="O65">
        <f t="shared" si="103"/>
        <v>195600</v>
      </c>
      <c r="P65">
        <f t="shared" si="104"/>
        <v>6480</v>
      </c>
      <c r="Q65">
        <f t="shared" si="105"/>
        <v>452.38934211693021</v>
      </c>
      <c r="R65">
        <f t="shared" si="97"/>
        <v>6932.3893421169305</v>
      </c>
      <c r="S65">
        <f t="shared" si="85"/>
        <v>98937843.544753</v>
      </c>
      <c r="T65">
        <f t="shared" si="98"/>
        <v>119.46474135158041</v>
      </c>
      <c r="U65">
        <f t="shared" si="99"/>
        <v>117.18938861465833</v>
      </c>
      <c r="W65">
        <f t="shared" si="100"/>
        <v>1.2929684322491355</v>
      </c>
      <c r="X65">
        <f t="shared" si="101"/>
        <v>1629.1114953974786</v>
      </c>
      <c r="Y65">
        <v>1450.4</v>
      </c>
      <c r="Z65">
        <f t="shared" si="70"/>
        <v>0.89030124954469392</v>
      </c>
      <c r="AA65" t="str">
        <f t="shared" si="77"/>
        <v>MC-R64</v>
      </c>
      <c r="AB65">
        <f t="shared" si="71"/>
        <v>490</v>
      </c>
      <c r="AC65">
        <f t="shared" si="79"/>
        <v>517.02058150931066</v>
      </c>
      <c r="AD65">
        <f t="shared" si="72"/>
        <v>519.7880493042129</v>
      </c>
      <c r="AE65">
        <f t="shared" si="73"/>
        <v>325.88344850615891</v>
      </c>
      <c r="AF65">
        <f t="shared" ref="AF65:AF67" si="106">AD65*(1-((2*M65*H65-D65*H65)/(2*M65*H65-H65)*D65))+AE65*((2*M65*H65-D65*H65)/(2*M65*H65-H65)*D65)</f>
        <v>356.90818463384755</v>
      </c>
      <c r="AG65">
        <f t="shared" si="75"/>
        <v>1684.2614588426543</v>
      </c>
      <c r="AH65">
        <f t="shared" si="76"/>
        <v>0.86114895783262013</v>
      </c>
    </row>
    <row r="66" spans="1:34" x14ac:dyDescent="0.25">
      <c r="A66">
        <v>65</v>
      </c>
      <c r="B66">
        <v>355</v>
      </c>
      <c r="C66">
        <v>205</v>
      </c>
      <c r="D66">
        <v>0.8</v>
      </c>
      <c r="E66">
        <v>16000</v>
      </c>
      <c r="F66">
        <v>270</v>
      </c>
      <c r="G66">
        <f t="shared" si="94"/>
        <v>300</v>
      </c>
      <c r="H66">
        <v>6</v>
      </c>
      <c r="I66">
        <f t="shared" si="81"/>
        <v>45</v>
      </c>
      <c r="J66">
        <f t="shared" si="102"/>
        <v>0.8203392106811157</v>
      </c>
      <c r="K66">
        <f t="shared" si="95"/>
        <v>1.35</v>
      </c>
      <c r="L66">
        <f t="shared" si="57"/>
        <v>16</v>
      </c>
      <c r="M66">
        <v>2.5</v>
      </c>
      <c r="N66">
        <f t="shared" si="96"/>
        <v>235</v>
      </c>
      <c r="O66">
        <f t="shared" si="103"/>
        <v>195600</v>
      </c>
      <c r="P66">
        <f t="shared" si="104"/>
        <v>6480</v>
      </c>
      <c r="Q66">
        <f t="shared" si="105"/>
        <v>452.38934211693021</v>
      </c>
      <c r="R66">
        <f t="shared" si="97"/>
        <v>6932.3893421169305</v>
      </c>
      <c r="S66">
        <f t="shared" si="85"/>
        <v>98937843.544753</v>
      </c>
      <c r="T66">
        <f t="shared" si="98"/>
        <v>119.46474135158041</v>
      </c>
      <c r="U66">
        <f t="shared" si="99"/>
        <v>133.93072984532381</v>
      </c>
      <c r="W66">
        <f t="shared" si="100"/>
        <v>1.4776782082847266</v>
      </c>
      <c r="X66">
        <f t="shared" si="101"/>
        <v>1629.1114953974786</v>
      </c>
      <c r="Y66">
        <v>1269.5</v>
      </c>
      <c r="Z66">
        <f t="shared" si="70"/>
        <v>0.77925912596317493</v>
      </c>
      <c r="AA66" t="str">
        <f t="shared" si="77"/>
        <v>MC-R65</v>
      </c>
      <c r="AB66">
        <f t="shared" si="71"/>
        <v>490</v>
      </c>
      <c r="AC66">
        <f t="shared" si="79"/>
        <v>517.02058150931066</v>
      </c>
      <c r="AD66">
        <f t="shared" si="72"/>
        <v>519.7880493042129</v>
      </c>
      <c r="AE66">
        <f t="shared" si="73"/>
        <v>325.88344850615891</v>
      </c>
      <c r="AF66">
        <f t="shared" si="106"/>
        <v>356.90818463384755</v>
      </c>
      <c r="AG66">
        <f t="shared" si="75"/>
        <v>1684.2614588426543</v>
      </c>
      <c r="AH66">
        <f t="shared" si="76"/>
        <v>0.75374283092147765</v>
      </c>
    </row>
    <row r="67" spans="1:34" x14ac:dyDescent="0.25">
      <c r="A67">
        <v>66</v>
      </c>
      <c r="B67">
        <v>355</v>
      </c>
      <c r="C67">
        <v>205</v>
      </c>
      <c r="D67">
        <v>0.8</v>
      </c>
      <c r="E67">
        <v>18000</v>
      </c>
      <c r="F67">
        <v>270</v>
      </c>
      <c r="G67">
        <f t="shared" si="94"/>
        <v>300</v>
      </c>
      <c r="H67">
        <v>6</v>
      </c>
      <c r="I67">
        <f t="shared" si="81"/>
        <v>45</v>
      </c>
      <c r="J67">
        <f t="shared" si="102"/>
        <v>0.8203392106811157</v>
      </c>
      <c r="K67">
        <f t="shared" si="95"/>
        <v>1.35</v>
      </c>
      <c r="L67">
        <f t="shared" si="57"/>
        <v>18</v>
      </c>
      <c r="M67">
        <v>2.5</v>
      </c>
      <c r="N67">
        <f t="shared" si="96"/>
        <v>235</v>
      </c>
      <c r="O67">
        <f t="shared" si="103"/>
        <v>195600</v>
      </c>
      <c r="P67">
        <f t="shared" si="104"/>
        <v>6480</v>
      </c>
      <c r="Q67">
        <f t="shared" si="105"/>
        <v>452.38934211693021</v>
      </c>
      <c r="R67">
        <f t="shared" si="97"/>
        <v>6932.3893421169305</v>
      </c>
      <c r="S67">
        <f t="shared" si="85"/>
        <v>98937843.544753</v>
      </c>
      <c r="T67">
        <f t="shared" si="98"/>
        <v>119.46474135158041</v>
      </c>
      <c r="U67">
        <f t="shared" si="99"/>
        <v>150.67207107598929</v>
      </c>
      <c r="W67">
        <f t="shared" si="100"/>
        <v>1.6623879843203175</v>
      </c>
      <c r="X67">
        <f t="shared" si="101"/>
        <v>1629.1114953974786</v>
      </c>
      <c r="Y67">
        <v>1127.9000000000001</v>
      </c>
      <c r="Z67">
        <f t="shared" si="70"/>
        <v>0.69234058146818833</v>
      </c>
      <c r="AA67" t="str">
        <f t="shared" si="77"/>
        <v>MC-R66</v>
      </c>
      <c r="AB67">
        <f t="shared" si="71"/>
        <v>490</v>
      </c>
      <c r="AC67">
        <f t="shared" ref="AC67" si="107">C67/(0.2+185*C67/193000)</f>
        <v>517.02058150931066</v>
      </c>
      <c r="AD67">
        <f t="shared" si="72"/>
        <v>519.7880493042129</v>
      </c>
      <c r="AE67">
        <f t="shared" si="73"/>
        <v>325.88344850615891</v>
      </c>
      <c r="AF67">
        <f t="shared" si="106"/>
        <v>356.90818463384755</v>
      </c>
      <c r="AG67">
        <f t="shared" si="75"/>
        <v>1684.2614588426543</v>
      </c>
      <c r="AH67">
        <f t="shared" si="76"/>
        <v>0.66967037337245738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C789-69CA-456E-A3DD-7A064114EBB8}">
  <dimension ref="A1:AG56"/>
  <sheetViews>
    <sheetView zoomScale="70" zoomScaleNormal="70" workbookViewId="0">
      <selection activeCell="Y2" sqref="Y2:Y56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t="s">
        <v>5</v>
      </c>
      <c r="I1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v>2000</v>
      </c>
      <c r="F2">
        <v>270</v>
      </c>
      <c r="G2">
        <f>F2+2*H2*M2</f>
        <v>288</v>
      </c>
      <c r="H2">
        <v>6</v>
      </c>
      <c r="I2">
        <f>F2/H2</f>
        <v>45</v>
      </c>
      <c r="J2">
        <f>SQRT(12*(1-0.3^2)*I2^2*N2/(4*PI()^2*O2))</f>
        <v>0.94604146249571819</v>
      </c>
      <c r="K2">
        <f>H2*I2/200</f>
        <v>1.35</v>
      </c>
      <c r="L2">
        <f t="shared" ref="L2:L56" si="0">E2/1000</f>
        <v>2</v>
      </c>
      <c r="M2">
        <v>1.5</v>
      </c>
      <c r="N2">
        <f>D2*C2+(1-D2)*B2</f>
        <v>325</v>
      </c>
      <c r="O2">
        <f>193000*D2+(1-D2)*206000</f>
        <v>203400</v>
      </c>
      <c r="P2">
        <f>H2*I2*H2*4</f>
        <v>6480</v>
      </c>
      <c r="Q2">
        <f>PI()*(M2*H2)^2-PI()*((M2-1)*H2)^2</f>
        <v>226.1946710584651</v>
      </c>
      <c r="R2">
        <f>P2+Q2</f>
        <v>6706.1946710584652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88487367.260139346</v>
      </c>
      <c r="T2">
        <f>SQRT(S2/R2)</f>
        <v>114.86892554902659</v>
      </c>
      <c r="U2">
        <f>E2/T2</f>
        <v>17.411149189746627</v>
      </c>
      <c r="V2">
        <f>U2/PI()*SQRT(N2/O2)</f>
        <v>0.22153572475449884</v>
      </c>
      <c r="W2">
        <f>R2*N2/1000</f>
        <v>2179.5132680940014</v>
      </c>
      <c r="X2">
        <v>1635</v>
      </c>
      <c r="Y2">
        <f>X2/W2</f>
        <v>0.75016749103336189</v>
      </c>
      <c r="Z2" t="str">
        <f>"MC-C"&amp;A2</f>
        <v>MC-C1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588.75671369876318</v>
      </c>
      <c r="AD2">
        <f>1.673*C2/(M2-1)^0.126</f>
        <v>374.26531559414582</v>
      </c>
      <c r="AE2">
        <f>AC2*(1-((2*M2*H2-D2*H2)/(2*M2*H2-H2)*D2))+AD2*((2*M2*H2-D2*H2)/(2*M2*H2-H2)*D2)</f>
        <v>528.69912222947028</v>
      </c>
      <c r="AF2">
        <f>(AE2*Q2+N2*P2)/1000</f>
        <v>2225.5889240415945</v>
      </c>
      <c r="AG2">
        <f>X2/AF2</f>
        <v>0.73463701330382924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v>3000</v>
      </c>
      <c r="F3">
        <v>270</v>
      </c>
      <c r="G3">
        <f t="shared" ref="G3:G56" si="1">F3+2*H3*M3</f>
        <v>288</v>
      </c>
      <c r="H3">
        <v>6</v>
      </c>
      <c r="I3">
        <f t="shared" ref="I3:I12" si="2">F3/H3</f>
        <v>45</v>
      </c>
      <c r="J3">
        <f>SQRT(12*(1-0.3^2)*I3^2*N3/(4*PI()^2*O3))</f>
        <v>0.94604146249571819</v>
      </c>
      <c r="K3">
        <f t="shared" ref="K3:K12" si="3">H3*I3/200</f>
        <v>1.35</v>
      </c>
      <c r="L3">
        <f t="shared" si="0"/>
        <v>3</v>
      </c>
      <c r="M3">
        <v>1.5</v>
      </c>
      <c r="N3">
        <f t="shared" ref="N3:N12" si="4">D3*C3+(1-D3)*B3</f>
        <v>325</v>
      </c>
      <c r="O3">
        <f>193000*D3+(1-D3)*206000</f>
        <v>203400</v>
      </c>
      <c r="P3">
        <f>H3*I3*H3*4</f>
        <v>6480</v>
      </c>
      <c r="Q3">
        <f>PI()*(M3*H3)^2-PI()*((M3-1)*H3)^2</f>
        <v>226.1946710584651</v>
      </c>
      <c r="R3">
        <f t="shared" ref="R3:R12" si="5">P3+Q3</f>
        <v>6706.1946710584652</v>
      </c>
      <c r="S3">
        <f t="shared" ref="S3:S56" si="6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88487367.260139346</v>
      </c>
      <c r="T3">
        <f t="shared" ref="T3:T12" si="7">SQRT(S3/R3)</f>
        <v>114.86892554902659</v>
      </c>
      <c r="U3">
        <f t="shared" ref="U3:U12" si="8">E3/T3</f>
        <v>26.116723784619943</v>
      </c>
      <c r="V3">
        <f t="shared" ref="V3:V12" si="9">U3/PI()*SQRT(N3/O3)</f>
        <v>0.33230358713174829</v>
      </c>
      <c r="W3">
        <f t="shared" ref="W3:W12" si="10">R3*N3/1000</f>
        <v>2179.5132680940014</v>
      </c>
      <c r="X3">
        <v>1624.9</v>
      </c>
      <c r="Y3">
        <f t="shared" ref="Y3:Y56" si="11">X3/W3</f>
        <v>0.74553342885633622</v>
      </c>
      <c r="Z3" t="str">
        <f t="shared" ref="Z3:Z56" si="12">"MC-C"&amp;A3</f>
        <v>MC-C2</v>
      </c>
      <c r="AA3">
        <f t="shared" ref="AA3:AA56" si="13">IF(B3=235,360,IF(B3=355,490,560))</f>
        <v>490</v>
      </c>
      <c r="AB3">
        <f>C3/(0.2+185*C3/193000)</f>
        <v>517.02058150931066</v>
      </c>
      <c r="AC3">
        <f t="shared" ref="AC3:AC56" si="14">B3*(2.769*(AA3/B3)-0.581*(AA3/B3)^2-1.182)/((M3-1)^(0.314*(AA3/B3)-0.32))</f>
        <v>588.75671369876318</v>
      </c>
      <c r="AD3">
        <f t="shared" ref="AD3:AD56" si="15">1.673*C3/(M3-1)^0.126</f>
        <v>374.26531559414582</v>
      </c>
      <c r="AE3">
        <f t="shared" ref="AE3:AE56" si="16">AC3*(1-((2*M3*H3-D3*H3)/(2*M3*H3-H3)*D3))+AD3*((2*M3*H3-D3*H3)/(2*M3*H3-H3)*D3)</f>
        <v>528.69912222947028</v>
      </c>
      <c r="AF3">
        <f t="shared" ref="AF3:AF12" si="17">(AE3*Q3+N3*P3)/1000</f>
        <v>2225.5889240415945</v>
      </c>
      <c r="AG3">
        <f t="shared" ref="AG3:AG56" si="18">X3/AF3</f>
        <v>0.73009888863449068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v>4000</v>
      </c>
      <c r="F4">
        <v>270</v>
      </c>
      <c r="G4">
        <f t="shared" si="1"/>
        <v>288</v>
      </c>
      <c r="H4">
        <v>6</v>
      </c>
      <c r="I4">
        <f t="shared" si="2"/>
        <v>45</v>
      </c>
      <c r="J4">
        <f>SQRT(12*(1-0.3^2)*I4^2*N4/(4*PI()^2*O4))</f>
        <v>0.94604146249571819</v>
      </c>
      <c r="K4">
        <f t="shared" si="3"/>
        <v>1.35</v>
      </c>
      <c r="L4">
        <f t="shared" si="0"/>
        <v>4</v>
      </c>
      <c r="M4">
        <v>1.5</v>
      </c>
      <c r="N4">
        <f t="shared" si="4"/>
        <v>325</v>
      </c>
      <c r="O4">
        <f>193000*D4+(1-D4)*206000</f>
        <v>203400</v>
      </c>
      <c r="P4">
        <f>H4*I4*H4*4</f>
        <v>6480</v>
      </c>
      <c r="Q4">
        <f>PI()*(M4*H4)^2-PI()*((M4-1)*H4)^2</f>
        <v>226.1946710584651</v>
      </c>
      <c r="R4">
        <f t="shared" si="5"/>
        <v>6706.1946710584652</v>
      </c>
      <c r="S4">
        <f t="shared" si="6"/>
        <v>88487367.260139346</v>
      </c>
      <c r="T4">
        <f t="shared" si="7"/>
        <v>114.86892554902659</v>
      </c>
      <c r="U4">
        <f t="shared" si="8"/>
        <v>34.822298379493255</v>
      </c>
      <c r="V4">
        <f t="shared" si="9"/>
        <v>0.44307144950899768</v>
      </c>
      <c r="W4">
        <f t="shared" si="10"/>
        <v>2179.5132680940014</v>
      </c>
      <c r="X4">
        <v>1612.1</v>
      </c>
      <c r="Y4">
        <f t="shared" si="11"/>
        <v>0.73966055797852148</v>
      </c>
      <c r="Z4" t="str">
        <f t="shared" si="12"/>
        <v>MC-C3</v>
      </c>
      <c r="AA4">
        <f t="shared" si="13"/>
        <v>490</v>
      </c>
      <c r="AB4">
        <f>C4/(0.2+185*C4/193000)</f>
        <v>517.02058150931066</v>
      </c>
      <c r="AC4">
        <f t="shared" si="14"/>
        <v>588.75671369876318</v>
      </c>
      <c r="AD4">
        <f t="shared" si="15"/>
        <v>374.26531559414582</v>
      </c>
      <c r="AE4">
        <f t="shared" si="16"/>
        <v>528.69912222947028</v>
      </c>
      <c r="AF4">
        <f t="shared" si="17"/>
        <v>2225.5889240415945</v>
      </c>
      <c r="AG4">
        <f t="shared" si="18"/>
        <v>0.72434760192483372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v>5000</v>
      </c>
      <c r="F5">
        <v>270</v>
      </c>
      <c r="G5">
        <f t="shared" si="1"/>
        <v>288</v>
      </c>
      <c r="H5">
        <v>6</v>
      </c>
      <c r="I5">
        <f t="shared" si="2"/>
        <v>45</v>
      </c>
      <c r="J5">
        <f t="shared" ref="J5:J12" si="19">SQRT(12*(1-0.3^2)*I5^2*N5/(4*PI()^2*O5))</f>
        <v>0.94604146249571819</v>
      </c>
      <c r="K5">
        <f t="shared" si="3"/>
        <v>1.35</v>
      </c>
      <c r="L5">
        <f t="shared" si="0"/>
        <v>5</v>
      </c>
      <c r="M5">
        <v>1.5</v>
      </c>
      <c r="N5">
        <f t="shared" si="4"/>
        <v>325</v>
      </c>
      <c r="O5">
        <f t="shared" ref="O5:O12" si="20">193000*D5+(1-D5)*206000</f>
        <v>203400</v>
      </c>
      <c r="P5">
        <f t="shared" ref="P5:P12" si="21">H5*I5*H5*4</f>
        <v>6480</v>
      </c>
      <c r="Q5">
        <f t="shared" ref="Q5:Q12" si="22">PI()*(M5*H5)^2-PI()*((M5-1)*H5)^2</f>
        <v>226.1946710584651</v>
      </c>
      <c r="R5">
        <f t="shared" si="5"/>
        <v>6706.1946710584652</v>
      </c>
      <c r="S5">
        <f t="shared" si="6"/>
        <v>88487367.260139346</v>
      </c>
      <c r="T5">
        <f t="shared" si="7"/>
        <v>114.86892554902659</v>
      </c>
      <c r="U5">
        <f t="shared" si="8"/>
        <v>43.527872974366574</v>
      </c>
      <c r="V5">
        <f t="shared" si="9"/>
        <v>0.55383931188624713</v>
      </c>
      <c r="W5">
        <f t="shared" si="10"/>
        <v>2179.5132680940014</v>
      </c>
      <c r="X5">
        <v>1585.1</v>
      </c>
      <c r="Y5">
        <f t="shared" si="11"/>
        <v>0.72727247097063108</v>
      </c>
      <c r="Z5" t="str">
        <f t="shared" si="12"/>
        <v>MC-C4</v>
      </c>
      <c r="AA5">
        <f t="shared" si="13"/>
        <v>490</v>
      </c>
      <c r="AB5">
        <f t="shared" ref="AB5:AB12" si="23">C5/(0.2+185*C5/193000)</f>
        <v>517.02058150931066</v>
      </c>
      <c r="AC5">
        <f t="shared" si="14"/>
        <v>588.75671369876318</v>
      </c>
      <c r="AD5">
        <f t="shared" si="15"/>
        <v>374.26531559414582</v>
      </c>
      <c r="AE5">
        <f t="shared" si="16"/>
        <v>528.69912222947028</v>
      </c>
      <c r="AF5">
        <f t="shared" si="17"/>
        <v>2225.5889240415945</v>
      </c>
      <c r="AG5">
        <f t="shared" si="18"/>
        <v>0.71221598152165122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v>6000</v>
      </c>
      <c r="F6">
        <v>270</v>
      </c>
      <c r="G6">
        <f t="shared" si="1"/>
        <v>288</v>
      </c>
      <c r="H6">
        <v>6</v>
      </c>
      <c r="I6">
        <f t="shared" si="2"/>
        <v>45</v>
      </c>
      <c r="J6">
        <f t="shared" si="19"/>
        <v>0.94604146249571819</v>
      </c>
      <c r="K6">
        <f t="shared" si="3"/>
        <v>1.35</v>
      </c>
      <c r="L6">
        <f t="shared" si="0"/>
        <v>6</v>
      </c>
      <c r="M6">
        <v>1.5</v>
      </c>
      <c r="N6">
        <f t="shared" si="4"/>
        <v>325</v>
      </c>
      <c r="O6">
        <f t="shared" si="20"/>
        <v>203400</v>
      </c>
      <c r="P6">
        <f t="shared" si="21"/>
        <v>6480</v>
      </c>
      <c r="Q6">
        <f t="shared" si="22"/>
        <v>226.1946710584651</v>
      </c>
      <c r="R6">
        <f t="shared" si="5"/>
        <v>6706.1946710584652</v>
      </c>
      <c r="S6">
        <f t="shared" si="6"/>
        <v>88487367.260139346</v>
      </c>
      <c r="T6">
        <f t="shared" si="7"/>
        <v>114.86892554902659</v>
      </c>
      <c r="U6">
        <f t="shared" si="8"/>
        <v>52.233447569239885</v>
      </c>
      <c r="V6">
        <f t="shared" si="9"/>
        <v>0.66460717426349658</v>
      </c>
      <c r="W6">
        <f t="shared" si="10"/>
        <v>2179.5132680940014</v>
      </c>
      <c r="X6">
        <v>1543.4</v>
      </c>
      <c r="Y6">
        <f t="shared" si="11"/>
        <v>0.70813975881400049</v>
      </c>
      <c r="Z6" t="str">
        <f t="shared" si="12"/>
        <v>MC-C5</v>
      </c>
      <c r="AA6">
        <f t="shared" si="13"/>
        <v>490</v>
      </c>
      <c r="AB6">
        <f t="shared" si="23"/>
        <v>517.02058150931066</v>
      </c>
      <c r="AC6">
        <f t="shared" si="14"/>
        <v>588.75671369876318</v>
      </c>
      <c r="AD6">
        <f t="shared" si="15"/>
        <v>374.26531559414582</v>
      </c>
      <c r="AE6">
        <f t="shared" si="16"/>
        <v>528.69912222947028</v>
      </c>
      <c r="AF6">
        <f t="shared" si="17"/>
        <v>2225.5889240415945</v>
      </c>
      <c r="AG6">
        <f t="shared" si="18"/>
        <v>0.69347936778784725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v>8000</v>
      </c>
      <c r="F7">
        <v>270</v>
      </c>
      <c r="G7">
        <f t="shared" si="1"/>
        <v>288</v>
      </c>
      <c r="H7">
        <v>6</v>
      </c>
      <c r="I7">
        <f t="shared" si="2"/>
        <v>45</v>
      </c>
      <c r="J7">
        <f t="shared" si="19"/>
        <v>0.94604146249571819</v>
      </c>
      <c r="K7">
        <f t="shared" si="3"/>
        <v>1.35</v>
      </c>
      <c r="L7">
        <f t="shared" si="0"/>
        <v>8</v>
      </c>
      <c r="M7">
        <v>1.5</v>
      </c>
      <c r="N7">
        <f t="shared" si="4"/>
        <v>325</v>
      </c>
      <c r="O7">
        <f t="shared" si="20"/>
        <v>203400</v>
      </c>
      <c r="P7">
        <f t="shared" si="21"/>
        <v>6480</v>
      </c>
      <c r="Q7">
        <f t="shared" si="22"/>
        <v>226.1946710584651</v>
      </c>
      <c r="R7">
        <f t="shared" si="5"/>
        <v>6706.1946710584652</v>
      </c>
      <c r="S7">
        <f t="shared" si="6"/>
        <v>88487367.260139346</v>
      </c>
      <c r="T7">
        <f t="shared" si="7"/>
        <v>114.86892554902659</v>
      </c>
      <c r="U7">
        <f t="shared" si="8"/>
        <v>69.644596758986509</v>
      </c>
      <c r="V7">
        <f t="shared" si="9"/>
        <v>0.88614289901799537</v>
      </c>
      <c r="W7">
        <f t="shared" si="10"/>
        <v>2179.5132680940014</v>
      </c>
      <c r="X7">
        <v>1424.2</v>
      </c>
      <c r="Y7">
        <f t="shared" si="11"/>
        <v>0.65344864876435105</v>
      </c>
      <c r="Z7" t="str">
        <f t="shared" si="12"/>
        <v>MC-C6</v>
      </c>
      <c r="AA7">
        <f t="shared" si="13"/>
        <v>490</v>
      </c>
      <c r="AB7">
        <f t="shared" si="23"/>
        <v>517.02058150931066</v>
      </c>
      <c r="AC7">
        <f t="shared" si="14"/>
        <v>588.75671369876318</v>
      </c>
      <c r="AD7">
        <f t="shared" si="15"/>
        <v>374.26531559414582</v>
      </c>
      <c r="AE7">
        <f t="shared" si="16"/>
        <v>528.69912222947028</v>
      </c>
      <c r="AF7">
        <f t="shared" si="17"/>
        <v>2225.5889240415945</v>
      </c>
      <c r="AG7">
        <f t="shared" si="18"/>
        <v>0.63992051030416741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v>10000</v>
      </c>
      <c r="F8">
        <v>270</v>
      </c>
      <c r="G8">
        <f t="shared" si="1"/>
        <v>288</v>
      </c>
      <c r="H8">
        <v>6</v>
      </c>
      <c r="I8">
        <f t="shared" si="2"/>
        <v>45</v>
      </c>
      <c r="J8">
        <f t="shared" si="19"/>
        <v>0.94604146249571819</v>
      </c>
      <c r="K8">
        <f t="shared" si="3"/>
        <v>1.35</v>
      </c>
      <c r="L8">
        <f t="shared" si="0"/>
        <v>10</v>
      </c>
      <c r="M8">
        <v>1.5</v>
      </c>
      <c r="N8">
        <f t="shared" si="4"/>
        <v>325</v>
      </c>
      <c r="O8">
        <f t="shared" si="20"/>
        <v>203400</v>
      </c>
      <c r="P8">
        <f t="shared" si="21"/>
        <v>6480</v>
      </c>
      <c r="Q8">
        <f t="shared" si="22"/>
        <v>226.1946710584651</v>
      </c>
      <c r="R8">
        <f t="shared" si="5"/>
        <v>6706.1946710584652</v>
      </c>
      <c r="S8">
        <f t="shared" si="6"/>
        <v>88487367.260139346</v>
      </c>
      <c r="T8">
        <f t="shared" si="7"/>
        <v>114.86892554902659</v>
      </c>
      <c r="U8">
        <f t="shared" si="8"/>
        <v>87.055745948733147</v>
      </c>
      <c r="V8">
        <f t="shared" si="9"/>
        <v>1.1076786237724943</v>
      </c>
      <c r="W8">
        <f t="shared" si="10"/>
        <v>2179.5132680940014</v>
      </c>
      <c r="X8">
        <v>1213.5999999999999</v>
      </c>
      <c r="Y8">
        <f t="shared" si="11"/>
        <v>0.55682157010280608</v>
      </c>
      <c r="Z8" t="str">
        <f t="shared" si="12"/>
        <v>MC-C7</v>
      </c>
      <c r="AA8">
        <f t="shared" si="13"/>
        <v>490</v>
      </c>
      <c r="AB8">
        <f t="shared" si="23"/>
        <v>517.02058150931066</v>
      </c>
      <c r="AC8">
        <f t="shared" si="14"/>
        <v>588.75671369876318</v>
      </c>
      <c r="AD8">
        <f t="shared" si="15"/>
        <v>374.26531559414582</v>
      </c>
      <c r="AE8">
        <f t="shared" si="16"/>
        <v>528.69912222947028</v>
      </c>
      <c r="AF8">
        <f t="shared" si="17"/>
        <v>2225.5889240415945</v>
      </c>
      <c r="AG8">
        <f t="shared" si="18"/>
        <v>0.5452938711593438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v>12000</v>
      </c>
      <c r="F9">
        <v>270</v>
      </c>
      <c r="G9">
        <f t="shared" si="1"/>
        <v>288</v>
      </c>
      <c r="H9">
        <v>6</v>
      </c>
      <c r="I9">
        <f t="shared" si="2"/>
        <v>45</v>
      </c>
      <c r="J9">
        <f t="shared" si="19"/>
        <v>0.94604146249571819</v>
      </c>
      <c r="K9">
        <f t="shared" si="3"/>
        <v>1.35</v>
      </c>
      <c r="L9">
        <f t="shared" si="0"/>
        <v>12</v>
      </c>
      <c r="M9">
        <v>1.5</v>
      </c>
      <c r="N9">
        <f t="shared" si="4"/>
        <v>325</v>
      </c>
      <c r="O9">
        <f t="shared" si="20"/>
        <v>203400</v>
      </c>
      <c r="P9">
        <f t="shared" si="21"/>
        <v>6480</v>
      </c>
      <c r="Q9">
        <f t="shared" si="22"/>
        <v>226.1946710584651</v>
      </c>
      <c r="R9">
        <f t="shared" si="5"/>
        <v>6706.1946710584652</v>
      </c>
      <c r="S9">
        <f t="shared" si="6"/>
        <v>88487367.260139346</v>
      </c>
      <c r="T9">
        <f t="shared" si="7"/>
        <v>114.86892554902659</v>
      </c>
      <c r="U9">
        <f t="shared" si="8"/>
        <v>104.46689513847977</v>
      </c>
      <c r="V9">
        <f t="shared" si="9"/>
        <v>1.3292143485269932</v>
      </c>
      <c r="W9">
        <f t="shared" si="10"/>
        <v>2179.5132680940014</v>
      </c>
      <c r="X9">
        <v>1022.1</v>
      </c>
      <c r="Y9">
        <f t="shared" si="11"/>
        <v>0.46895791595425024</v>
      </c>
      <c r="Z9" t="str">
        <f t="shared" si="12"/>
        <v>MC-C8</v>
      </c>
      <c r="AA9">
        <f t="shared" si="13"/>
        <v>490</v>
      </c>
      <c r="AB9">
        <f t="shared" si="23"/>
        <v>517.02058150931066</v>
      </c>
      <c r="AC9">
        <f t="shared" si="14"/>
        <v>588.75671369876318</v>
      </c>
      <c r="AD9">
        <f t="shared" si="15"/>
        <v>374.26531559414582</v>
      </c>
      <c r="AE9">
        <f t="shared" si="16"/>
        <v>528.69912222947028</v>
      </c>
      <c r="AF9">
        <f t="shared" si="17"/>
        <v>2225.5889240415945</v>
      </c>
      <c r="AG9">
        <f t="shared" si="18"/>
        <v>0.45924923015158653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v>14000</v>
      </c>
      <c r="F10">
        <v>270</v>
      </c>
      <c r="G10">
        <f t="shared" si="1"/>
        <v>288</v>
      </c>
      <c r="H10">
        <v>6</v>
      </c>
      <c r="I10">
        <f t="shared" si="2"/>
        <v>45</v>
      </c>
      <c r="J10">
        <f t="shared" si="19"/>
        <v>0.94604146249571819</v>
      </c>
      <c r="K10">
        <f t="shared" si="3"/>
        <v>1.35</v>
      </c>
      <c r="L10">
        <f t="shared" si="0"/>
        <v>14</v>
      </c>
      <c r="M10">
        <v>1.5</v>
      </c>
      <c r="N10">
        <f t="shared" si="4"/>
        <v>325</v>
      </c>
      <c r="O10">
        <f t="shared" si="20"/>
        <v>203400</v>
      </c>
      <c r="P10">
        <f t="shared" si="21"/>
        <v>6480</v>
      </c>
      <c r="Q10">
        <f t="shared" si="22"/>
        <v>226.1946710584651</v>
      </c>
      <c r="R10">
        <f t="shared" si="5"/>
        <v>6706.1946710584652</v>
      </c>
      <c r="S10">
        <f t="shared" si="6"/>
        <v>88487367.260139346</v>
      </c>
      <c r="T10">
        <f t="shared" si="7"/>
        <v>114.86892554902659</v>
      </c>
      <c r="U10">
        <f t="shared" si="8"/>
        <v>121.87804432822639</v>
      </c>
      <c r="V10">
        <f t="shared" si="9"/>
        <v>1.5507500732814918</v>
      </c>
      <c r="W10">
        <f t="shared" si="10"/>
        <v>2179.5132680940014</v>
      </c>
      <c r="X10">
        <v>792.2</v>
      </c>
      <c r="Y10">
        <f t="shared" si="11"/>
        <v>0.36347564917225034</v>
      </c>
      <c r="Z10" t="str">
        <f t="shared" si="12"/>
        <v>MC-C9</v>
      </c>
      <c r="AA10">
        <f t="shared" si="13"/>
        <v>490</v>
      </c>
      <c r="AB10">
        <f t="shared" si="23"/>
        <v>517.02058150931066</v>
      </c>
      <c r="AC10">
        <f t="shared" si="14"/>
        <v>588.75671369876318</v>
      </c>
      <c r="AD10">
        <f t="shared" si="15"/>
        <v>374.26531559414582</v>
      </c>
      <c r="AE10">
        <f t="shared" si="16"/>
        <v>528.69912222947028</v>
      </c>
      <c r="AF10">
        <f t="shared" si="17"/>
        <v>2225.5889240415945</v>
      </c>
      <c r="AG10">
        <f t="shared" si="18"/>
        <v>0.35595072901485847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v>16000</v>
      </c>
      <c r="F11">
        <v>270</v>
      </c>
      <c r="G11">
        <f t="shared" si="1"/>
        <v>288</v>
      </c>
      <c r="H11">
        <v>6</v>
      </c>
      <c r="I11">
        <f t="shared" si="2"/>
        <v>45</v>
      </c>
      <c r="J11">
        <f t="shared" si="19"/>
        <v>0.94604146249571819</v>
      </c>
      <c r="K11">
        <f t="shared" si="3"/>
        <v>1.35</v>
      </c>
      <c r="L11">
        <f t="shared" si="0"/>
        <v>16</v>
      </c>
      <c r="M11">
        <v>1.5</v>
      </c>
      <c r="N11">
        <f t="shared" si="4"/>
        <v>325</v>
      </c>
      <c r="O11">
        <f t="shared" si="20"/>
        <v>203400</v>
      </c>
      <c r="P11">
        <f t="shared" si="21"/>
        <v>6480</v>
      </c>
      <c r="Q11">
        <f t="shared" si="22"/>
        <v>226.1946710584651</v>
      </c>
      <c r="R11">
        <f t="shared" si="5"/>
        <v>6706.1946710584652</v>
      </c>
      <c r="S11">
        <f t="shared" si="6"/>
        <v>88487367.260139346</v>
      </c>
      <c r="T11">
        <f t="shared" si="7"/>
        <v>114.86892554902659</v>
      </c>
      <c r="U11">
        <f t="shared" si="8"/>
        <v>139.28919351797302</v>
      </c>
      <c r="V11">
        <f t="shared" si="9"/>
        <v>1.7722857980359907</v>
      </c>
      <c r="W11">
        <f t="shared" si="10"/>
        <v>2179.5132680940014</v>
      </c>
      <c r="X11">
        <v>624.9</v>
      </c>
      <c r="Y11">
        <f t="shared" si="11"/>
        <v>0.28671539152706288</v>
      </c>
      <c r="Z11" t="str">
        <f t="shared" si="12"/>
        <v>MC-C10</v>
      </c>
      <c r="AA11">
        <f t="shared" si="13"/>
        <v>490</v>
      </c>
      <c r="AB11">
        <f t="shared" si="23"/>
        <v>517.02058150931066</v>
      </c>
      <c r="AC11">
        <f t="shared" si="14"/>
        <v>588.75671369876318</v>
      </c>
      <c r="AD11">
        <f t="shared" si="15"/>
        <v>374.26531559414582</v>
      </c>
      <c r="AE11">
        <f t="shared" si="16"/>
        <v>528.69912222947028</v>
      </c>
      <c r="AF11">
        <f t="shared" si="17"/>
        <v>2225.5889240415945</v>
      </c>
      <c r="AG11">
        <f t="shared" si="18"/>
        <v>0.28077961444254612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v>18000</v>
      </c>
      <c r="F12">
        <v>270</v>
      </c>
      <c r="G12">
        <f t="shared" si="1"/>
        <v>288</v>
      </c>
      <c r="H12">
        <v>6</v>
      </c>
      <c r="I12">
        <f t="shared" si="2"/>
        <v>45</v>
      </c>
      <c r="J12">
        <f t="shared" si="19"/>
        <v>0.94604146249571819</v>
      </c>
      <c r="K12">
        <f t="shared" si="3"/>
        <v>1.35</v>
      </c>
      <c r="L12">
        <f t="shared" si="0"/>
        <v>18</v>
      </c>
      <c r="M12">
        <v>1.5</v>
      </c>
      <c r="N12">
        <f t="shared" si="4"/>
        <v>325</v>
      </c>
      <c r="O12">
        <f t="shared" si="20"/>
        <v>203400</v>
      </c>
      <c r="P12">
        <f t="shared" si="21"/>
        <v>6480</v>
      </c>
      <c r="Q12">
        <f t="shared" si="22"/>
        <v>226.1946710584651</v>
      </c>
      <c r="R12">
        <f t="shared" si="5"/>
        <v>6706.1946710584652</v>
      </c>
      <c r="S12">
        <f t="shared" si="6"/>
        <v>88487367.260139346</v>
      </c>
      <c r="T12">
        <f t="shared" si="7"/>
        <v>114.86892554902659</v>
      </c>
      <c r="U12">
        <f t="shared" si="8"/>
        <v>156.70034270771964</v>
      </c>
      <c r="V12">
        <f t="shared" si="9"/>
        <v>1.9938215227904894</v>
      </c>
      <c r="W12">
        <f t="shared" si="10"/>
        <v>2179.5132680940014</v>
      </c>
      <c r="X12">
        <v>498.1</v>
      </c>
      <c r="Y12">
        <f t="shared" si="11"/>
        <v>0.22853726439371105</v>
      </c>
      <c r="Z12" t="str">
        <f t="shared" si="12"/>
        <v>MC-C11</v>
      </c>
      <c r="AA12">
        <f t="shared" si="13"/>
        <v>490</v>
      </c>
      <c r="AB12">
        <f t="shared" si="23"/>
        <v>517.02058150931066</v>
      </c>
      <c r="AC12">
        <f t="shared" si="14"/>
        <v>588.75671369876318</v>
      </c>
      <c r="AD12">
        <f t="shared" si="15"/>
        <v>374.26531559414582</v>
      </c>
      <c r="AE12">
        <f t="shared" si="16"/>
        <v>528.69912222947028</v>
      </c>
      <c r="AF12">
        <f t="shared" si="17"/>
        <v>2225.5889240415945</v>
      </c>
      <c r="AG12">
        <f t="shared" si="18"/>
        <v>0.22380593047500758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v>2000</v>
      </c>
      <c r="F13">
        <v>270</v>
      </c>
      <c r="G13">
        <f t="shared" si="1"/>
        <v>300</v>
      </c>
      <c r="H13">
        <v>6</v>
      </c>
      <c r="I13">
        <f>F13/H13</f>
        <v>45</v>
      </c>
      <c r="J13">
        <f>SQRT(12*(1-0.3^2)*I13^2*N13/(4*PI()^2*O13))</f>
        <v>0.94604146249571819</v>
      </c>
      <c r="K13">
        <f>H13*I13/200</f>
        <v>1.35</v>
      </c>
      <c r="L13">
        <f t="shared" si="0"/>
        <v>2</v>
      </c>
      <c r="M13">
        <v>2.5</v>
      </c>
      <c r="N13">
        <f>D13*C13+(1-D13)*B13</f>
        <v>325</v>
      </c>
      <c r="O13">
        <f>193000*D13+(1-D13)*206000</f>
        <v>203400</v>
      </c>
      <c r="P13">
        <f>H13*I13*H13*4</f>
        <v>6480</v>
      </c>
      <c r="Q13">
        <f>PI()*(M13*H13)^2-PI()*((M13-1)*H13)^2</f>
        <v>452.38934211693021</v>
      </c>
      <c r="R13">
        <f>P13+Q13</f>
        <v>6932.3893421169305</v>
      </c>
      <c r="S13">
        <f t="shared" si="6"/>
        <v>98937843.544753</v>
      </c>
      <c r="T13">
        <f>SQRT(S13/R13)</f>
        <v>119.46474135158041</v>
      </c>
      <c r="U13">
        <f>E13/T13</f>
        <v>16.741341230665476</v>
      </c>
      <c r="V13">
        <f>U13/PI()*SQRT(N13/O13)</f>
        <v>0.21301323206637926</v>
      </c>
      <c r="W13">
        <f>R13*N13/1000</f>
        <v>2253.0265361880024</v>
      </c>
      <c r="X13">
        <v>1656.4</v>
      </c>
      <c r="Y13">
        <f t="shared" si="11"/>
        <v>0.73518885525535715</v>
      </c>
      <c r="Z13" t="str">
        <f t="shared" si="12"/>
        <v>MC-C12</v>
      </c>
      <c r="AA13">
        <f t="shared" si="13"/>
        <v>490</v>
      </c>
      <c r="AB13">
        <f>C13/(0.2+185*C13/193000)</f>
        <v>517.02058150931066</v>
      </c>
      <c r="AC13">
        <f t="shared" si="14"/>
        <v>519.7880493042129</v>
      </c>
      <c r="AD13">
        <f t="shared" si="15"/>
        <v>325.88344850615891</v>
      </c>
      <c r="AE13">
        <f t="shared" si="16"/>
        <v>473.25094511267991</v>
      </c>
      <c r="AF13">
        <f>(AE13*Q13+N13*P13)/1000</f>
        <v>2320.0936837157406</v>
      </c>
      <c r="AG13">
        <f t="shared" si="18"/>
        <v>0.71393668782684527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v>3000</v>
      </c>
      <c r="F14">
        <v>270</v>
      </c>
      <c r="G14">
        <f t="shared" si="1"/>
        <v>300</v>
      </c>
      <c r="H14">
        <v>6</v>
      </c>
      <c r="I14">
        <f t="shared" ref="I14:I23" si="24">F14/H14</f>
        <v>45</v>
      </c>
      <c r="J14">
        <f>SQRT(12*(1-0.3^2)*I14^2*N14/(4*PI()^2*O14))</f>
        <v>0.94604146249571819</v>
      </c>
      <c r="K14">
        <f t="shared" ref="K14:K23" si="25">H14*I14/200</f>
        <v>1.35</v>
      </c>
      <c r="L14">
        <f t="shared" si="0"/>
        <v>3</v>
      </c>
      <c r="M14">
        <v>2.5</v>
      </c>
      <c r="N14">
        <f t="shared" ref="N14:N23" si="26">D14*C14+(1-D14)*B14</f>
        <v>325</v>
      </c>
      <c r="O14">
        <f>193000*D14+(1-D14)*206000</f>
        <v>203400</v>
      </c>
      <c r="P14">
        <f>H14*I14*H14*4</f>
        <v>6480</v>
      </c>
      <c r="Q14">
        <f>PI()*(M14*H14)^2-PI()*((M14-1)*H14)^2</f>
        <v>452.38934211693021</v>
      </c>
      <c r="R14">
        <f t="shared" ref="R14:R23" si="27">P14+Q14</f>
        <v>6932.3893421169305</v>
      </c>
      <c r="S14">
        <f t="shared" si="6"/>
        <v>98937843.544753</v>
      </c>
      <c r="T14">
        <f t="shared" ref="T14:T23" si="28">SQRT(S14/R14)</f>
        <v>119.46474135158041</v>
      </c>
      <c r="U14">
        <f t="shared" ref="U14:U23" si="29">E14/T14</f>
        <v>25.112011845998214</v>
      </c>
      <c r="V14">
        <f t="shared" ref="V14:V23" si="30">U14/PI()*SQRT(N14/O14)</f>
        <v>0.3195198480995689</v>
      </c>
      <c r="W14">
        <f t="shared" ref="W14:W23" si="31">R14*N14/1000</f>
        <v>2253.0265361880024</v>
      </c>
      <c r="X14">
        <v>1662.1</v>
      </c>
      <c r="Y14">
        <f t="shared" si="11"/>
        <v>0.73771878551070336</v>
      </c>
      <c r="Z14" t="str">
        <f t="shared" si="12"/>
        <v>MC-C13</v>
      </c>
      <c r="AA14">
        <f t="shared" si="13"/>
        <v>490</v>
      </c>
      <c r="AB14">
        <f>C14/(0.2+185*C14/193000)</f>
        <v>517.02058150931066</v>
      </c>
      <c r="AC14">
        <f t="shared" si="14"/>
        <v>519.7880493042129</v>
      </c>
      <c r="AD14">
        <f t="shared" si="15"/>
        <v>325.88344850615891</v>
      </c>
      <c r="AE14">
        <f t="shared" si="16"/>
        <v>473.25094511267991</v>
      </c>
      <c r="AF14">
        <f t="shared" ref="AF14:AF21" si="32">(AE14*Q14+N14*P14)/1000</f>
        <v>2320.0936837157406</v>
      </c>
      <c r="AG14">
        <f t="shared" si="18"/>
        <v>0.71639348517085211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v>4000</v>
      </c>
      <c r="F15">
        <v>270</v>
      </c>
      <c r="G15">
        <f t="shared" si="1"/>
        <v>300</v>
      </c>
      <c r="H15">
        <v>6</v>
      </c>
      <c r="I15">
        <f t="shared" si="24"/>
        <v>45</v>
      </c>
      <c r="J15">
        <f>SQRT(12*(1-0.3^2)*I15^2*N15/(4*PI()^2*O15))</f>
        <v>0.94604146249571819</v>
      </c>
      <c r="K15">
        <f t="shared" si="25"/>
        <v>1.35</v>
      </c>
      <c r="L15">
        <f t="shared" si="0"/>
        <v>4</v>
      </c>
      <c r="M15">
        <v>2.5</v>
      </c>
      <c r="N15">
        <f t="shared" si="26"/>
        <v>325</v>
      </c>
      <c r="O15">
        <f>193000*D15+(1-D15)*206000</f>
        <v>203400</v>
      </c>
      <c r="P15">
        <f>H15*I15*H15*4</f>
        <v>6480</v>
      </c>
      <c r="Q15">
        <f>PI()*(M15*H15)^2-PI()*((M15-1)*H15)^2</f>
        <v>452.38934211693021</v>
      </c>
      <c r="R15">
        <f t="shared" si="27"/>
        <v>6932.3893421169305</v>
      </c>
      <c r="S15">
        <f t="shared" si="6"/>
        <v>98937843.544753</v>
      </c>
      <c r="T15">
        <f t="shared" si="28"/>
        <v>119.46474135158041</v>
      </c>
      <c r="U15">
        <f t="shared" si="29"/>
        <v>33.482682461330953</v>
      </c>
      <c r="V15">
        <f t="shared" si="30"/>
        <v>0.42602646413275852</v>
      </c>
      <c r="W15">
        <f t="shared" si="31"/>
        <v>2253.0265361880024</v>
      </c>
      <c r="X15">
        <v>1644.2</v>
      </c>
      <c r="Y15">
        <f t="shared" si="11"/>
        <v>0.72977391681408976</v>
      </c>
      <c r="Z15" t="str">
        <f t="shared" si="12"/>
        <v>MC-C14</v>
      </c>
      <c r="AA15">
        <f t="shared" si="13"/>
        <v>490</v>
      </c>
      <c r="AB15">
        <f>C15/(0.2+185*C15/193000)</f>
        <v>517.02058150931066</v>
      </c>
      <c r="AC15">
        <f t="shared" si="14"/>
        <v>519.7880493042129</v>
      </c>
      <c r="AD15">
        <f t="shared" si="15"/>
        <v>325.88344850615891</v>
      </c>
      <c r="AE15">
        <f t="shared" si="16"/>
        <v>473.25094511267991</v>
      </c>
      <c r="AF15">
        <f t="shared" si="32"/>
        <v>2320.0936837157406</v>
      </c>
      <c r="AG15">
        <f t="shared" si="18"/>
        <v>0.70867827947651463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v>5000</v>
      </c>
      <c r="F16">
        <v>270</v>
      </c>
      <c r="G16">
        <f t="shared" si="1"/>
        <v>300</v>
      </c>
      <c r="H16">
        <v>6</v>
      </c>
      <c r="I16">
        <f t="shared" si="24"/>
        <v>45</v>
      </c>
      <c r="J16">
        <f t="shared" ref="J16:J23" si="33">SQRT(12*(1-0.3^2)*I16^2*N16/(4*PI()^2*O16))</f>
        <v>0.94604146249571819</v>
      </c>
      <c r="K16">
        <f t="shared" si="25"/>
        <v>1.35</v>
      </c>
      <c r="L16">
        <f t="shared" si="0"/>
        <v>5</v>
      </c>
      <c r="M16">
        <v>2.5</v>
      </c>
      <c r="N16">
        <f t="shared" si="26"/>
        <v>325</v>
      </c>
      <c r="O16">
        <f t="shared" ref="O16:O23" si="34">193000*D16+(1-D16)*206000</f>
        <v>203400</v>
      </c>
      <c r="P16">
        <f t="shared" ref="P16:P23" si="35">H16*I16*H16*4</f>
        <v>6480</v>
      </c>
      <c r="Q16">
        <f t="shared" ref="Q16:Q23" si="36">PI()*(M16*H16)^2-PI()*((M16-1)*H16)^2</f>
        <v>452.38934211693021</v>
      </c>
      <c r="R16">
        <f t="shared" si="27"/>
        <v>6932.3893421169305</v>
      </c>
      <c r="S16">
        <f t="shared" si="6"/>
        <v>98937843.544753</v>
      </c>
      <c r="T16">
        <f t="shared" si="28"/>
        <v>119.46474135158041</v>
      </c>
      <c r="U16">
        <f t="shared" si="29"/>
        <v>41.853353076663687</v>
      </c>
      <c r="V16">
        <f t="shared" si="30"/>
        <v>0.53253308016594814</v>
      </c>
      <c r="W16">
        <f t="shared" si="31"/>
        <v>2253.0265361880024</v>
      </c>
      <c r="X16">
        <v>1625.4</v>
      </c>
      <c r="Y16">
        <f t="shared" si="11"/>
        <v>0.72142958544557934</v>
      </c>
      <c r="Z16" t="str">
        <f t="shared" si="12"/>
        <v>MC-C15</v>
      </c>
      <c r="AA16">
        <f t="shared" si="13"/>
        <v>490</v>
      </c>
      <c r="AB16">
        <f t="shared" ref="AB16:AB21" si="37">C16/(0.2+185*C16/193000)</f>
        <v>517.02058150931066</v>
      </c>
      <c r="AC16">
        <f t="shared" si="14"/>
        <v>519.7880493042129</v>
      </c>
      <c r="AD16">
        <f t="shared" si="15"/>
        <v>325.88344850615891</v>
      </c>
      <c r="AE16">
        <f t="shared" si="16"/>
        <v>473.25094511267991</v>
      </c>
      <c r="AF16">
        <f t="shared" si="32"/>
        <v>2320.0936837157406</v>
      </c>
      <c r="AG16">
        <f t="shared" si="18"/>
        <v>0.70057515841207096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v>6000</v>
      </c>
      <c r="F17">
        <v>270</v>
      </c>
      <c r="G17">
        <f t="shared" si="1"/>
        <v>300</v>
      </c>
      <c r="H17">
        <v>6</v>
      </c>
      <c r="I17">
        <f t="shared" si="24"/>
        <v>45</v>
      </c>
      <c r="J17">
        <f t="shared" si="33"/>
        <v>0.94604146249571819</v>
      </c>
      <c r="K17">
        <f t="shared" si="25"/>
        <v>1.35</v>
      </c>
      <c r="L17">
        <f t="shared" si="0"/>
        <v>6</v>
      </c>
      <c r="M17">
        <v>2.5</v>
      </c>
      <c r="N17">
        <f t="shared" si="26"/>
        <v>325</v>
      </c>
      <c r="O17">
        <f t="shared" si="34"/>
        <v>203400</v>
      </c>
      <c r="P17">
        <f t="shared" si="35"/>
        <v>6480</v>
      </c>
      <c r="Q17">
        <f t="shared" si="36"/>
        <v>452.38934211693021</v>
      </c>
      <c r="R17">
        <f t="shared" si="27"/>
        <v>6932.3893421169305</v>
      </c>
      <c r="S17">
        <f t="shared" si="6"/>
        <v>98937843.544753</v>
      </c>
      <c r="T17">
        <f t="shared" si="28"/>
        <v>119.46474135158041</v>
      </c>
      <c r="U17">
        <f t="shared" si="29"/>
        <v>50.224023691996429</v>
      </c>
      <c r="V17">
        <f t="shared" si="30"/>
        <v>0.63903969619913781</v>
      </c>
      <c r="W17">
        <f t="shared" si="31"/>
        <v>2253.0265361880024</v>
      </c>
      <c r="X17">
        <v>1593.8</v>
      </c>
      <c r="Y17">
        <f t="shared" si="11"/>
        <v>0.70740400718787022</v>
      </c>
      <c r="Z17" t="str">
        <f t="shared" si="12"/>
        <v>MC-C16</v>
      </c>
      <c r="AA17">
        <f t="shared" si="13"/>
        <v>490</v>
      </c>
      <c r="AB17">
        <f t="shared" si="37"/>
        <v>517.02058150931066</v>
      </c>
      <c r="AC17">
        <f t="shared" si="14"/>
        <v>519.7880493042129</v>
      </c>
      <c r="AD17">
        <f t="shared" si="15"/>
        <v>325.88344850615891</v>
      </c>
      <c r="AE17">
        <f t="shared" si="16"/>
        <v>473.25094511267991</v>
      </c>
      <c r="AF17">
        <f t="shared" si="32"/>
        <v>2320.0936837157406</v>
      </c>
      <c r="AG17">
        <f t="shared" si="18"/>
        <v>0.68695501875055898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v>8000</v>
      </c>
      <c r="F18">
        <v>270</v>
      </c>
      <c r="G18">
        <f t="shared" si="1"/>
        <v>300</v>
      </c>
      <c r="H18">
        <v>6</v>
      </c>
      <c r="I18">
        <f t="shared" si="24"/>
        <v>45</v>
      </c>
      <c r="J18">
        <f t="shared" si="33"/>
        <v>0.94604146249571819</v>
      </c>
      <c r="K18">
        <f t="shared" si="25"/>
        <v>1.35</v>
      </c>
      <c r="L18">
        <f t="shared" si="0"/>
        <v>8</v>
      </c>
      <c r="M18">
        <v>2.5</v>
      </c>
      <c r="N18">
        <f t="shared" si="26"/>
        <v>325</v>
      </c>
      <c r="O18">
        <f t="shared" si="34"/>
        <v>203400</v>
      </c>
      <c r="P18">
        <f t="shared" si="35"/>
        <v>6480</v>
      </c>
      <c r="Q18">
        <f t="shared" si="36"/>
        <v>452.38934211693021</v>
      </c>
      <c r="R18">
        <f t="shared" si="27"/>
        <v>6932.3893421169305</v>
      </c>
      <c r="S18">
        <f t="shared" si="6"/>
        <v>98937843.544753</v>
      </c>
      <c r="T18">
        <f t="shared" si="28"/>
        <v>119.46474135158041</v>
      </c>
      <c r="U18">
        <f t="shared" si="29"/>
        <v>66.965364922661905</v>
      </c>
      <c r="V18">
        <f t="shared" si="30"/>
        <v>0.85205292826551704</v>
      </c>
      <c r="W18">
        <f t="shared" si="31"/>
        <v>2253.0265361880024</v>
      </c>
      <c r="X18">
        <v>1478.1</v>
      </c>
      <c r="Y18">
        <f t="shared" si="11"/>
        <v>0.65605086147847336</v>
      </c>
      <c r="Z18" t="str">
        <f t="shared" si="12"/>
        <v>MC-C17</v>
      </c>
      <c r="AA18">
        <f t="shared" si="13"/>
        <v>490</v>
      </c>
      <c r="AB18">
        <f t="shared" si="37"/>
        <v>517.02058150931066</v>
      </c>
      <c r="AC18">
        <f t="shared" si="14"/>
        <v>519.7880493042129</v>
      </c>
      <c r="AD18">
        <f t="shared" si="15"/>
        <v>325.88344850615891</v>
      </c>
      <c r="AE18">
        <f t="shared" si="16"/>
        <v>473.25094511267991</v>
      </c>
      <c r="AF18">
        <f t="shared" si="32"/>
        <v>2320.0936837157406</v>
      </c>
      <c r="AG18">
        <f t="shared" si="18"/>
        <v>0.63708634283799792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v>10000</v>
      </c>
      <c r="F19">
        <v>270</v>
      </c>
      <c r="G19">
        <f t="shared" si="1"/>
        <v>300</v>
      </c>
      <c r="H19">
        <v>6</v>
      </c>
      <c r="I19">
        <f t="shared" si="24"/>
        <v>45</v>
      </c>
      <c r="J19">
        <f t="shared" si="33"/>
        <v>0.94604146249571819</v>
      </c>
      <c r="K19">
        <f t="shared" si="25"/>
        <v>1.35</v>
      </c>
      <c r="L19">
        <f t="shared" si="0"/>
        <v>10</v>
      </c>
      <c r="M19">
        <v>2.5</v>
      </c>
      <c r="N19">
        <f t="shared" si="26"/>
        <v>325</v>
      </c>
      <c r="O19">
        <f t="shared" si="34"/>
        <v>203400</v>
      </c>
      <c r="P19">
        <f t="shared" si="35"/>
        <v>6480</v>
      </c>
      <c r="Q19">
        <f t="shared" si="36"/>
        <v>452.38934211693021</v>
      </c>
      <c r="R19">
        <f t="shared" si="27"/>
        <v>6932.3893421169305</v>
      </c>
      <c r="S19">
        <f t="shared" si="6"/>
        <v>98937843.544753</v>
      </c>
      <c r="T19">
        <f t="shared" si="28"/>
        <v>119.46474135158041</v>
      </c>
      <c r="U19">
        <f t="shared" si="29"/>
        <v>83.706706153327374</v>
      </c>
      <c r="V19">
        <f t="shared" si="30"/>
        <v>1.0650661603318963</v>
      </c>
      <c r="W19">
        <f t="shared" si="31"/>
        <v>2253.0265361880024</v>
      </c>
      <c r="X19">
        <v>1280</v>
      </c>
      <c r="Y19">
        <f t="shared" si="11"/>
        <v>0.56812468891986068</v>
      </c>
      <c r="Z19" t="str">
        <f t="shared" si="12"/>
        <v>MC-C18</v>
      </c>
      <c r="AA19">
        <f t="shared" si="13"/>
        <v>490</v>
      </c>
      <c r="AB19">
        <f t="shared" si="37"/>
        <v>517.02058150931066</v>
      </c>
      <c r="AC19">
        <f t="shared" si="14"/>
        <v>519.7880493042129</v>
      </c>
      <c r="AD19">
        <f t="shared" si="15"/>
        <v>325.88344850615891</v>
      </c>
      <c r="AE19">
        <f t="shared" si="16"/>
        <v>473.25094511267991</v>
      </c>
      <c r="AF19">
        <f t="shared" si="32"/>
        <v>2320.0936837157406</v>
      </c>
      <c r="AG19">
        <f t="shared" si="18"/>
        <v>0.55170185970681107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v>12000</v>
      </c>
      <c r="F20">
        <v>270</v>
      </c>
      <c r="G20">
        <f t="shared" si="1"/>
        <v>300</v>
      </c>
      <c r="H20">
        <v>6</v>
      </c>
      <c r="I20">
        <f t="shared" si="24"/>
        <v>45</v>
      </c>
      <c r="J20">
        <f t="shared" si="33"/>
        <v>0.94604146249571819</v>
      </c>
      <c r="K20">
        <f t="shared" si="25"/>
        <v>1.35</v>
      </c>
      <c r="L20">
        <f t="shared" si="0"/>
        <v>12</v>
      </c>
      <c r="M20">
        <v>2.5</v>
      </c>
      <c r="N20">
        <f t="shared" si="26"/>
        <v>325</v>
      </c>
      <c r="O20">
        <f t="shared" si="34"/>
        <v>203400</v>
      </c>
      <c r="P20">
        <f t="shared" si="35"/>
        <v>6480</v>
      </c>
      <c r="Q20">
        <f t="shared" si="36"/>
        <v>452.38934211693021</v>
      </c>
      <c r="R20">
        <f t="shared" si="27"/>
        <v>6932.3893421169305</v>
      </c>
      <c r="S20">
        <f t="shared" si="6"/>
        <v>98937843.544753</v>
      </c>
      <c r="T20">
        <f t="shared" si="28"/>
        <v>119.46474135158041</v>
      </c>
      <c r="U20">
        <f t="shared" si="29"/>
        <v>100.44804738399286</v>
      </c>
      <c r="V20">
        <f t="shared" si="30"/>
        <v>1.2780793923982756</v>
      </c>
      <c r="W20">
        <f t="shared" si="31"/>
        <v>2253.0265361880024</v>
      </c>
      <c r="X20">
        <v>1055.0999999999999</v>
      </c>
      <c r="Y20">
        <f t="shared" si="11"/>
        <v>0.46830340568698819</v>
      </c>
      <c r="Z20" t="str">
        <f t="shared" si="12"/>
        <v>MC-C19</v>
      </c>
      <c r="AA20">
        <f t="shared" si="13"/>
        <v>490</v>
      </c>
      <c r="AB20">
        <f t="shared" si="37"/>
        <v>517.02058150931066</v>
      </c>
      <c r="AC20">
        <f t="shared" si="14"/>
        <v>519.7880493042129</v>
      </c>
      <c r="AD20">
        <f t="shared" si="15"/>
        <v>325.88344850615891</v>
      </c>
      <c r="AE20">
        <f t="shared" si="16"/>
        <v>473.25094511267991</v>
      </c>
      <c r="AF20">
        <f t="shared" si="32"/>
        <v>2320.0936837157406</v>
      </c>
      <c r="AG20">
        <f t="shared" si="18"/>
        <v>0.45476611888801277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v>14000</v>
      </c>
      <c r="F21">
        <v>270</v>
      </c>
      <c r="G21">
        <f t="shared" si="1"/>
        <v>300</v>
      </c>
      <c r="H21">
        <v>6</v>
      </c>
      <c r="I21">
        <f t="shared" si="24"/>
        <v>45</v>
      </c>
      <c r="J21">
        <f t="shared" si="33"/>
        <v>0.94604146249571819</v>
      </c>
      <c r="K21">
        <f t="shared" si="25"/>
        <v>1.35</v>
      </c>
      <c r="L21">
        <f t="shared" si="0"/>
        <v>14</v>
      </c>
      <c r="M21">
        <v>2.5</v>
      </c>
      <c r="N21">
        <f t="shared" si="26"/>
        <v>325</v>
      </c>
      <c r="O21">
        <f t="shared" si="34"/>
        <v>203400</v>
      </c>
      <c r="P21">
        <f t="shared" si="35"/>
        <v>6480</v>
      </c>
      <c r="Q21">
        <f t="shared" si="36"/>
        <v>452.38934211693021</v>
      </c>
      <c r="R21">
        <f t="shared" si="27"/>
        <v>6932.3893421169305</v>
      </c>
      <c r="S21">
        <f t="shared" si="6"/>
        <v>98937843.544753</v>
      </c>
      <c r="T21">
        <f t="shared" si="28"/>
        <v>119.46474135158041</v>
      </c>
      <c r="U21">
        <f t="shared" si="29"/>
        <v>117.18938861465833</v>
      </c>
      <c r="V21">
        <f t="shared" si="30"/>
        <v>1.4910926244646545</v>
      </c>
      <c r="W21">
        <f t="shared" si="31"/>
        <v>2253.0265361880024</v>
      </c>
      <c r="X21">
        <v>874.3</v>
      </c>
      <c r="Y21">
        <f t="shared" si="11"/>
        <v>0.38805579337705792</v>
      </c>
      <c r="Z21" t="str">
        <f t="shared" si="12"/>
        <v>MC-C20</v>
      </c>
      <c r="AA21">
        <f t="shared" si="13"/>
        <v>490</v>
      </c>
      <c r="AB21">
        <f t="shared" si="37"/>
        <v>517.02058150931066</v>
      </c>
      <c r="AC21">
        <f t="shared" si="14"/>
        <v>519.7880493042129</v>
      </c>
      <c r="AD21">
        <f t="shared" si="15"/>
        <v>325.88344850615891</v>
      </c>
      <c r="AE21">
        <f t="shared" si="16"/>
        <v>473.25094511267991</v>
      </c>
      <c r="AF21">
        <f t="shared" si="32"/>
        <v>2320.0936837157406</v>
      </c>
      <c r="AG21">
        <f t="shared" si="18"/>
        <v>0.37683823120442572</v>
      </c>
    </row>
    <row r="22" spans="1:33" x14ac:dyDescent="0.25">
      <c r="A22">
        <v>21</v>
      </c>
      <c r="B22">
        <v>355</v>
      </c>
      <c r="C22">
        <v>205</v>
      </c>
      <c r="D22">
        <v>0.2</v>
      </c>
      <c r="E22">
        <v>16000</v>
      </c>
      <c r="F22">
        <v>270</v>
      </c>
      <c r="G22">
        <f t="shared" si="1"/>
        <v>300</v>
      </c>
      <c r="H22">
        <v>6</v>
      </c>
      <c r="I22">
        <f t="shared" si="24"/>
        <v>45</v>
      </c>
      <c r="J22">
        <f t="shared" si="33"/>
        <v>0.94604146249571819</v>
      </c>
      <c r="K22">
        <f t="shared" si="25"/>
        <v>1.35</v>
      </c>
      <c r="L22">
        <f t="shared" si="0"/>
        <v>16</v>
      </c>
      <c r="M22">
        <v>2.5</v>
      </c>
      <c r="N22">
        <f t="shared" si="26"/>
        <v>325</v>
      </c>
      <c r="O22">
        <f t="shared" si="34"/>
        <v>203400</v>
      </c>
      <c r="P22">
        <f t="shared" si="35"/>
        <v>6480</v>
      </c>
      <c r="Q22">
        <f t="shared" si="36"/>
        <v>452.38934211693021</v>
      </c>
      <c r="R22">
        <f t="shared" si="27"/>
        <v>6932.3893421169305</v>
      </c>
      <c r="S22">
        <f t="shared" si="6"/>
        <v>98937843.544753</v>
      </c>
      <c r="T22">
        <f t="shared" si="28"/>
        <v>119.46474135158041</v>
      </c>
      <c r="U22">
        <f t="shared" si="29"/>
        <v>133.93072984532381</v>
      </c>
      <c r="V22">
        <f t="shared" si="30"/>
        <v>1.7041058565310341</v>
      </c>
      <c r="W22">
        <f t="shared" si="31"/>
        <v>2253.0265361880024</v>
      </c>
      <c r="X22">
        <v>692.2</v>
      </c>
      <c r="Y22">
        <f t="shared" si="11"/>
        <v>0.30723117942994338</v>
      </c>
      <c r="Z22" t="str">
        <f t="shared" si="12"/>
        <v>MC-C21</v>
      </c>
      <c r="AA22">
        <f t="shared" si="13"/>
        <v>490</v>
      </c>
      <c r="AB22">
        <f>C22/(0.2+185*C22/193000)</f>
        <v>517.02058150931066</v>
      </c>
      <c r="AC22">
        <f t="shared" si="14"/>
        <v>519.7880493042129</v>
      </c>
      <c r="AD22">
        <f t="shared" si="15"/>
        <v>325.88344850615891</v>
      </c>
      <c r="AE22">
        <f t="shared" si="16"/>
        <v>473.25094511267991</v>
      </c>
      <c r="AF22">
        <f>(AE22*Q22+N22*P22)/1000</f>
        <v>2320.0936837157406</v>
      </c>
      <c r="AG22">
        <f t="shared" si="18"/>
        <v>0.29835002131957394</v>
      </c>
    </row>
    <row r="23" spans="1:33" x14ac:dyDescent="0.25">
      <c r="A23">
        <v>22</v>
      </c>
      <c r="B23">
        <v>355</v>
      </c>
      <c r="C23">
        <v>205</v>
      </c>
      <c r="D23">
        <v>0.2</v>
      </c>
      <c r="E23">
        <v>18000</v>
      </c>
      <c r="F23">
        <v>270</v>
      </c>
      <c r="G23">
        <f t="shared" si="1"/>
        <v>300</v>
      </c>
      <c r="H23">
        <v>6</v>
      </c>
      <c r="I23">
        <f t="shared" si="24"/>
        <v>45</v>
      </c>
      <c r="J23">
        <f t="shared" si="33"/>
        <v>0.94604146249571819</v>
      </c>
      <c r="K23">
        <f t="shared" si="25"/>
        <v>1.35</v>
      </c>
      <c r="L23">
        <f t="shared" si="0"/>
        <v>18</v>
      </c>
      <c r="M23">
        <v>2.5</v>
      </c>
      <c r="N23">
        <f t="shared" si="26"/>
        <v>325</v>
      </c>
      <c r="O23">
        <f t="shared" si="34"/>
        <v>203400</v>
      </c>
      <c r="P23">
        <f t="shared" si="35"/>
        <v>6480</v>
      </c>
      <c r="Q23">
        <f t="shared" si="36"/>
        <v>452.38934211693021</v>
      </c>
      <c r="R23">
        <f t="shared" si="27"/>
        <v>6932.3893421169305</v>
      </c>
      <c r="S23">
        <f t="shared" si="6"/>
        <v>98937843.544753</v>
      </c>
      <c r="T23">
        <f t="shared" si="28"/>
        <v>119.46474135158041</v>
      </c>
      <c r="U23">
        <f t="shared" si="29"/>
        <v>150.67207107598929</v>
      </c>
      <c r="V23">
        <f t="shared" si="30"/>
        <v>1.9171190885974134</v>
      </c>
      <c r="W23">
        <f t="shared" si="31"/>
        <v>2253.0265361880024</v>
      </c>
      <c r="X23">
        <v>553.9</v>
      </c>
      <c r="Y23">
        <f t="shared" si="11"/>
        <v>0.24584708218180532</v>
      </c>
      <c r="Z23" t="str">
        <f t="shared" si="12"/>
        <v>MC-C22</v>
      </c>
      <c r="AA23">
        <f t="shared" si="13"/>
        <v>490</v>
      </c>
      <c r="AB23">
        <f>C23/(0.2+185*C23/193000)</f>
        <v>517.02058150931066</v>
      </c>
      <c r="AC23">
        <f t="shared" si="14"/>
        <v>519.7880493042129</v>
      </c>
      <c r="AD23">
        <f t="shared" si="15"/>
        <v>325.88344850615891</v>
      </c>
      <c r="AE23">
        <f t="shared" si="16"/>
        <v>473.25094511267991</v>
      </c>
      <c r="AF23">
        <f t="shared" ref="AF23:AF30" si="38">(AE23*Q23+N23*P23)/1000</f>
        <v>2320.0936837157406</v>
      </c>
      <c r="AG23">
        <f t="shared" si="18"/>
        <v>0.23874035944656458</v>
      </c>
    </row>
    <row r="24" spans="1:33" x14ac:dyDescent="0.25">
      <c r="A24">
        <v>23</v>
      </c>
      <c r="B24">
        <v>355</v>
      </c>
      <c r="C24">
        <v>205</v>
      </c>
      <c r="D24">
        <v>0.2</v>
      </c>
      <c r="E24">
        <v>2000</v>
      </c>
      <c r="F24">
        <v>270</v>
      </c>
      <c r="G24">
        <f t="shared" si="1"/>
        <v>312</v>
      </c>
      <c r="H24">
        <v>6</v>
      </c>
      <c r="I24">
        <f>F24/H24</f>
        <v>45</v>
      </c>
      <c r="J24">
        <f>SQRT(12*(1-0.3^2)*I24^2*N24/(4*PI()^2*O24))</f>
        <v>0.94604146249571819</v>
      </c>
      <c r="K24">
        <f>H24*I24/200</f>
        <v>1.35</v>
      </c>
      <c r="L24">
        <f t="shared" si="0"/>
        <v>2</v>
      </c>
      <c r="M24">
        <v>3.5</v>
      </c>
      <c r="N24">
        <f>D24*C24+(1-D24)*B24</f>
        <v>325</v>
      </c>
      <c r="O24">
        <f>193000*D24+(1-D24)*206000</f>
        <v>203400</v>
      </c>
      <c r="P24">
        <f>H24*I24*H24*4</f>
        <v>6480</v>
      </c>
      <c r="Q24">
        <f>PI()*(M24*H24)^2-PI()*((M24-1)*H24)^2</f>
        <v>678.58401317539528</v>
      </c>
      <c r="R24">
        <f>P24+Q24</f>
        <v>7158.5840131753957</v>
      </c>
      <c r="S24">
        <f t="shared" si="6"/>
        <v>110137017.87831528</v>
      </c>
      <c r="T24">
        <f>SQRT(S24/R24)</f>
        <v>124.03752544879589</v>
      </c>
      <c r="U24">
        <f>E24/T24</f>
        <v>16.124152693014043</v>
      </c>
      <c r="V24">
        <f>U24/PI()*SQRT(N24/O24)</f>
        <v>0.20516025760106946</v>
      </c>
      <c r="W24">
        <f>R24*N24/1000</f>
        <v>2326.5398042820034</v>
      </c>
      <c r="X24">
        <v>1689.5</v>
      </c>
      <c r="Y24">
        <f t="shared" si="11"/>
        <v>0.72618572735805775</v>
      </c>
      <c r="Z24" t="str">
        <f t="shared" si="12"/>
        <v>MC-C23</v>
      </c>
      <c r="AA24">
        <f t="shared" si="13"/>
        <v>490</v>
      </c>
      <c r="AB24">
        <f>C24/(0.2+185*C24/193000)</f>
        <v>517.02058150931066</v>
      </c>
      <c r="AC24">
        <f t="shared" si="14"/>
        <v>490.5313485704678</v>
      </c>
      <c r="AD24">
        <f t="shared" si="15"/>
        <v>305.56904784310274</v>
      </c>
      <c r="AE24">
        <f t="shared" si="16"/>
        <v>448.60656040559837</v>
      </c>
      <c r="AF24">
        <f t="shared" si="38"/>
        <v>2410.4172400968414</v>
      </c>
      <c r="AG24">
        <f t="shared" si="18"/>
        <v>0.70091599574359265</v>
      </c>
    </row>
    <row r="25" spans="1:33" x14ac:dyDescent="0.25">
      <c r="A25">
        <v>24</v>
      </c>
      <c r="B25">
        <v>355</v>
      </c>
      <c r="C25">
        <v>205</v>
      </c>
      <c r="D25">
        <v>0.2</v>
      </c>
      <c r="E25">
        <v>3000</v>
      </c>
      <c r="F25">
        <v>270</v>
      </c>
      <c r="G25">
        <f t="shared" si="1"/>
        <v>312</v>
      </c>
      <c r="H25">
        <v>6</v>
      </c>
      <c r="I25">
        <f t="shared" ref="I25:I34" si="39">F25/H25</f>
        <v>45</v>
      </c>
      <c r="J25">
        <f>SQRT(12*(1-0.3^2)*I25^2*N25/(4*PI()^2*O25))</f>
        <v>0.94604146249571819</v>
      </c>
      <c r="K25">
        <f t="shared" ref="K25:K34" si="40">H25*I25/200</f>
        <v>1.35</v>
      </c>
      <c r="L25">
        <f t="shared" si="0"/>
        <v>3</v>
      </c>
      <c r="M25">
        <v>3.5</v>
      </c>
      <c r="N25">
        <f t="shared" ref="N25:N34" si="41">D25*C25+(1-D25)*B25</f>
        <v>325</v>
      </c>
      <c r="O25">
        <f>193000*D25+(1-D25)*206000</f>
        <v>203400</v>
      </c>
      <c r="P25">
        <f>H25*I25*H25*4</f>
        <v>6480</v>
      </c>
      <c r="Q25">
        <f>PI()*(M25*H25)^2-PI()*((M25-1)*H25)^2</f>
        <v>678.58401317539528</v>
      </c>
      <c r="R25">
        <f t="shared" ref="R25:R34" si="42">P25+Q25</f>
        <v>7158.5840131753957</v>
      </c>
      <c r="S25">
        <f t="shared" si="6"/>
        <v>110137017.87831528</v>
      </c>
      <c r="T25">
        <f t="shared" ref="T25:T34" si="43">SQRT(S25/R25)</f>
        <v>124.03752544879589</v>
      </c>
      <c r="U25">
        <f t="shared" ref="U25:U34" si="44">E25/T25</f>
        <v>24.186229039521063</v>
      </c>
      <c r="V25">
        <f t="shared" ref="V25:V34" si="45">U25/PI()*SQRT(N25/O25)</f>
        <v>0.30774038640160417</v>
      </c>
      <c r="W25">
        <f t="shared" ref="W25:W34" si="46">R25*N25/1000</f>
        <v>2326.5398042820034</v>
      </c>
      <c r="X25">
        <v>1676.6</v>
      </c>
      <c r="Y25">
        <f t="shared" si="11"/>
        <v>0.72064101242291778</v>
      </c>
      <c r="Z25" t="str">
        <f t="shared" si="12"/>
        <v>MC-C24</v>
      </c>
      <c r="AA25">
        <f t="shared" si="13"/>
        <v>490</v>
      </c>
      <c r="AB25">
        <f t="shared" ref="AB25:AB30" si="47">C25/(0.2+185*C25/193000)</f>
        <v>517.02058150931066</v>
      </c>
      <c r="AC25">
        <f t="shared" si="14"/>
        <v>490.5313485704678</v>
      </c>
      <c r="AD25">
        <f t="shared" si="15"/>
        <v>305.56904784310274</v>
      </c>
      <c r="AE25">
        <f t="shared" si="16"/>
        <v>448.60656040559837</v>
      </c>
      <c r="AF25">
        <f t="shared" si="38"/>
        <v>2410.4172400968414</v>
      </c>
      <c r="AG25">
        <f t="shared" si="18"/>
        <v>0.69556422519307926</v>
      </c>
    </row>
    <row r="26" spans="1:33" x14ac:dyDescent="0.25">
      <c r="A26">
        <v>25</v>
      </c>
      <c r="B26">
        <v>355</v>
      </c>
      <c r="C26">
        <v>205</v>
      </c>
      <c r="D26">
        <v>0.2</v>
      </c>
      <c r="E26">
        <v>4000</v>
      </c>
      <c r="F26">
        <v>270</v>
      </c>
      <c r="G26">
        <f t="shared" si="1"/>
        <v>312</v>
      </c>
      <c r="H26">
        <v>6</v>
      </c>
      <c r="I26">
        <f t="shared" si="39"/>
        <v>45</v>
      </c>
      <c r="J26">
        <f>SQRT(12*(1-0.3^2)*I26^2*N26/(4*PI()^2*O26))</f>
        <v>0.94604146249571819</v>
      </c>
      <c r="K26">
        <f t="shared" si="40"/>
        <v>1.35</v>
      </c>
      <c r="L26">
        <f t="shared" si="0"/>
        <v>4</v>
      </c>
      <c r="M26">
        <v>3.5</v>
      </c>
      <c r="N26">
        <f t="shared" si="41"/>
        <v>325</v>
      </c>
      <c r="O26">
        <f>193000*D26+(1-D26)*206000</f>
        <v>203400</v>
      </c>
      <c r="P26">
        <f>H26*I26*H26*4</f>
        <v>6480</v>
      </c>
      <c r="Q26">
        <f>PI()*(M26*H26)^2-PI()*((M26-1)*H26)^2</f>
        <v>678.58401317539528</v>
      </c>
      <c r="R26">
        <f t="shared" si="42"/>
        <v>7158.5840131753957</v>
      </c>
      <c r="S26">
        <f t="shared" si="6"/>
        <v>110137017.87831528</v>
      </c>
      <c r="T26">
        <f t="shared" si="43"/>
        <v>124.03752544879589</v>
      </c>
      <c r="U26">
        <f t="shared" si="44"/>
        <v>32.248305386028086</v>
      </c>
      <c r="V26">
        <f t="shared" si="45"/>
        <v>0.41032051520213891</v>
      </c>
      <c r="W26">
        <f t="shared" si="46"/>
        <v>2326.5398042820034</v>
      </c>
      <c r="X26">
        <v>1670.2</v>
      </c>
      <c r="Y26">
        <f t="shared" si="11"/>
        <v>0.71789014609850732</v>
      </c>
      <c r="Z26" t="str">
        <f t="shared" si="12"/>
        <v>MC-C25</v>
      </c>
      <c r="AA26">
        <f t="shared" si="13"/>
        <v>490</v>
      </c>
      <c r="AB26">
        <f t="shared" si="47"/>
        <v>517.02058150931066</v>
      </c>
      <c r="AC26">
        <f t="shared" si="14"/>
        <v>490.5313485704678</v>
      </c>
      <c r="AD26">
        <f t="shared" si="15"/>
        <v>305.56904784310274</v>
      </c>
      <c r="AE26">
        <f t="shared" si="16"/>
        <v>448.60656040559837</v>
      </c>
      <c r="AF26">
        <f t="shared" si="38"/>
        <v>2410.4172400968414</v>
      </c>
      <c r="AG26">
        <f t="shared" si="18"/>
        <v>0.69290908321453004</v>
      </c>
    </row>
    <row r="27" spans="1:33" x14ac:dyDescent="0.25">
      <c r="A27">
        <v>26</v>
      </c>
      <c r="B27">
        <v>355</v>
      </c>
      <c r="C27">
        <v>205</v>
      </c>
      <c r="D27">
        <v>0.2</v>
      </c>
      <c r="E27">
        <v>5000</v>
      </c>
      <c r="F27">
        <v>270</v>
      </c>
      <c r="G27">
        <f t="shared" si="1"/>
        <v>312</v>
      </c>
      <c r="H27">
        <v>6</v>
      </c>
      <c r="I27">
        <f t="shared" si="39"/>
        <v>45</v>
      </c>
      <c r="J27">
        <f t="shared" ref="J27:J34" si="48">SQRT(12*(1-0.3^2)*I27^2*N27/(4*PI()^2*O27))</f>
        <v>0.94604146249571819</v>
      </c>
      <c r="K27">
        <f t="shared" si="40"/>
        <v>1.35</v>
      </c>
      <c r="L27">
        <f t="shared" si="0"/>
        <v>5</v>
      </c>
      <c r="M27">
        <v>3.5</v>
      </c>
      <c r="N27">
        <f t="shared" si="41"/>
        <v>325</v>
      </c>
      <c r="O27">
        <f t="shared" ref="O27:O34" si="49">193000*D27+(1-D27)*206000</f>
        <v>203400</v>
      </c>
      <c r="P27">
        <f t="shared" ref="P27:P34" si="50">H27*I27*H27*4</f>
        <v>6480</v>
      </c>
      <c r="Q27">
        <f t="shared" ref="Q27:Q34" si="51">PI()*(M27*H27)^2-PI()*((M27-1)*H27)^2</f>
        <v>678.58401317539528</v>
      </c>
      <c r="R27">
        <f t="shared" si="42"/>
        <v>7158.5840131753957</v>
      </c>
      <c r="S27">
        <f t="shared" si="6"/>
        <v>110137017.87831528</v>
      </c>
      <c r="T27">
        <f t="shared" si="43"/>
        <v>124.03752544879589</v>
      </c>
      <c r="U27">
        <f t="shared" si="44"/>
        <v>40.310381732535106</v>
      </c>
      <c r="V27">
        <f t="shared" si="45"/>
        <v>0.51290064400267366</v>
      </c>
      <c r="W27">
        <f t="shared" si="46"/>
        <v>2326.5398042820034</v>
      </c>
      <c r="X27">
        <v>1658.6</v>
      </c>
      <c r="Y27">
        <f t="shared" si="11"/>
        <v>0.71290420088551321</v>
      </c>
      <c r="Z27" t="str">
        <f t="shared" si="12"/>
        <v>MC-C26</v>
      </c>
      <c r="AA27">
        <f t="shared" si="13"/>
        <v>490</v>
      </c>
      <c r="AB27">
        <f t="shared" si="47"/>
        <v>517.02058150931066</v>
      </c>
      <c r="AC27">
        <f t="shared" si="14"/>
        <v>490.5313485704678</v>
      </c>
      <c r="AD27">
        <f t="shared" si="15"/>
        <v>305.56904784310274</v>
      </c>
      <c r="AE27">
        <f t="shared" si="16"/>
        <v>448.60656040559837</v>
      </c>
      <c r="AF27">
        <f t="shared" si="38"/>
        <v>2410.4172400968414</v>
      </c>
      <c r="AG27">
        <f t="shared" si="18"/>
        <v>0.6880966383784094</v>
      </c>
    </row>
    <row r="28" spans="1:33" x14ac:dyDescent="0.25">
      <c r="A28">
        <v>27</v>
      </c>
      <c r="B28">
        <v>355</v>
      </c>
      <c r="C28">
        <v>205</v>
      </c>
      <c r="D28">
        <v>0.2</v>
      </c>
      <c r="E28">
        <v>6000</v>
      </c>
      <c r="F28">
        <v>270</v>
      </c>
      <c r="G28">
        <f t="shared" si="1"/>
        <v>312</v>
      </c>
      <c r="H28">
        <v>6</v>
      </c>
      <c r="I28">
        <f t="shared" si="39"/>
        <v>45</v>
      </c>
      <c r="J28">
        <f t="shared" si="48"/>
        <v>0.94604146249571819</v>
      </c>
      <c r="K28">
        <f t="shared" si="40"/>
        <v>1.35</v>
      </c>
      <c r="L28">
        <f t="shared" si="0"/>
        <v>6</v>
      </c>
      <c r="M28">
        <v>3.5</v>
      </c>
      <c r="N28">
        <f t="shared" si="41"/>
        <v>325</v>
      </c>
      <c r="O28">
        <f t="shared" si="49"/>
        <v>203400</v>
      </c>
      <c r="P28">
        <f t="shared" si="50"/>
        <v>6480</v>
      </c>
      <c r="Q28">
        <f t="shared" si="51"/>
        <v>678.58401317539528</v>
      </c>
      <c r="R28">
        <f t="shared" si="42"/>
        <v>7158.5840131753957</v>
      </c>
      <c r="S28">
        <f t="shared" si="6"/>
        <v>110137017.87831528</v>
      </c>
      <c r="T28">
        <f t="shared" si="43"/>
        <v>124.03752544879589</v>
      </c>
      <c r="U28">
        <f t="shared" si="44"/>
        <v>48.372458079042126</v>
      </c>
      <c r="V28">
        <f t="shared" si="45"/>
        <v>0.61548077280320834</v>
      </c>
      <c r="W28">
        <f t="shared" si="46"/>
        <v>2326.5398042820034</v>
      </c>
      <c r="X28">
        <v>1628.9</v>
      </c>
      <c r="Y28">
        <f t="shared" si="11"/>
        <v>0.70013846184879569</v>
      </c>
      <c r="Z28" t="str">
        <f t="shared" si="12"/>
        <v>MC-C27</v>
      </c>
      <c r="AA28">
        <f t="shared" si="13"/>
        <v>490</v>
      </c>
      <c r="AB28">
        <f t="shared" si="47"/>
        <v>517.02058150931066</v>
      </c>
      <c r="AC28">
        <f t="shared" si="14"/>
        <v>490.5313485704678</v>
      </c>
      <c r="AD28">
        <f t="shared" si="15"/>
        <v>305.56904784310274</v>
      </c>
      <c r="AE28">
        <f t="shared" si="16"/>
        <v>448.60656040559837</v>
      </c>
      <c r="AF28">
        <f t="shared" si="38"/>
        <v>2410.4172400968414</v>
      </c>
      <c r="AG28">
        <f t="shared" si="18"/>
        <v>0.67577512013420427</v>
      </c>
    </row>
    <row r="29" spans="1:33" x14ac:dyDescent="0.25">
      <c r="A29">
        <v>28</v>
      </c>
      <c r="B29">
        <v>355</v>
      </c>
      <c r="C29">
        <v>205</v>
      </c>
      <c r="D29">
        <v>0.2</v>
      </c>
      <c r="E29">
        <v>8000</v>
      </c>
      <c r="F29">
        <v>270</v>
      </c>
      <c r="G29">
        <f t="shared" si="1"/>
        <v>312</v>
      </c>
      <c r="H29">
        <v>6</v>
      </c>
      <c r="I29">
        <f t="shared" si="39"/>
        <v>45</v>
      </c>
      <c r="J29">
        <f t="shared" si="48"/>
        <v>0.94604146249571819</v>
      </c>
      <c r="K29">
        <f t="shared" si="40"/>
        <v>1.35</v>
      </c>
      <c r="L29">
        <f t="shared" si="0"/>
        <v>8</v>
      </c>
      <c r="M29">
        <v>3.5</v>
      </c>
      <c r="N29">
        <f t="shared" si="41"/>
        <v>325</v>
      </c>
      <c r="O29">
        <f t="shared" si="49"/>
        <v>203400</v>
      </c>
      <c r="P29">
        <f t="shared" si="50"/>
        <v>6480</v>
      </c>
      <c r="Q29">
        <f t="shared" si="51"/>
        <v>678.58401317539528</v>
      </c>
      <c r="R29">
        <f t="shared" si="42"/>
        <v>7158.5840131753957</v>
      </c>
      <c r="S29">
        <f t="shared" si="6"/>
        <v>110137017.87831528</v>
      </c>
      <c r="T29">
        <f t="shared" si="43"/>
        <v>124.03752544879589</v>
      </c>
      <c r="U29">
        <f t="shared" si="44"/>
        <v>64.496610772056172</v>
      </c>
      <c r="V29">
        <f t="shared" si="45"/>
        <v>0.82064103040427783</v>
      </c>
      <c r="W29">
        <f t="shared" si="46"/>
        <v>2326.5398042820034</v>
      </c>
      <c r="X29">
        <v>1537.5</v>
      </c>
      <c r="Y29">
        <f t="shared" si="11"/>
        <v>0.66085265215330802</v>
      </c>
      <c r="Z29" t="str">
        <f t="shared" si="12"/>
        <v>MC-C28</v>
      </c>
      <c r="AA29">
        <f t="shared" si="13"/>
        <v>490</v>
      </c>
      <c r="AB29">
        <f t="shared" si="47"/>
        <v>517.02058150931066</v>
      </c>
      <c r="AC29">
        <f t="shared" si="14"/>
        <v>490.5313485704678</v>
      </c>
      <c r="AD29">
        <f t="shared" si="15"/>
        <v>305.56904784310274</v>
      </c>
      <c r="AE29">
        <f t="shared" si="16"/>
        <v>448.60656040559837</v>
      </c>
      <c r="AF29">
        <f t="shared" si="38"/>
        <v>2410.4172400968414</v>
      </c>
      <c r="AG29">
        <f t="shared" si="18"/>
        <v>0.63785637375304749</v>
      </c>
    </row>
    <row r="30" spans="1:33" x14ac:dyDescent="0.25">
      <c r="A30">
        <v>29</v>
      </c>
      <c r="B30">
        <v>355</v>
      </c>
      <c r="C30">
        <v>205</v>
      </c>
      <c r="D30">
        <v>0.2</v>
      </c>
      <c r="E30">
        <v>10000</v>
      </c>
      <c r="F30">
        <v>270</v>
      </c>
      <c r="G30">
        <f t="shared" si="1"/>
        <v>312</v>
      </c>
      <c r="H30">
        <v>6</v>
      </c>
      <c r="I30">
        <f t="shared" si="39"/>
        <v>45</v>
      </c>
      <c r="J30">
        <f t="shared" si="48"/>
        <v>0.94604146249571819</v>
      </c>
      <c r="K30">
        <f t="shared" si="40"/>
        <v>1.35</v>
      </c>
      <c r="L30">
        <f t="shared" si="0"/>
        <v>10</v>
      </c>
      <c r="M30">
        <v>3.5</v>
      </c>
      <c r="N30">
        <f t="shared" si="41"/>
        <v>325</v>
      </c>
      <c r="O30">
        <f t="shared" si="49"/>
        <v>203400</v>
      </c>
      <c r="P30">
        <f t="shared" si="50"/>
        <v>6480</v>
      </c>
      <c r="Q30">
        <f t="shared" si="51"/>
        <v>678.58401317539528</v>
      </c>
      <c r="R30">
        <f t="shared" si="42"/>
        <v>7158.5840131753957</v>
      </c>
      <c r="S30">
        <f t="shared" si="6"/>
        <v>110137017.87831528</v>
      </c>
      <c r="T30">
        <f t="shared" si="43"/>
        <v>124.03752544879589</v>
      </c>
      <c r="U30">
        <f t="shared" si="44"/>
        <v>80.620763465070212</v>
      </c>
      <c r="V30">
        <f t="shared" si="45"/>
        <v>1.0258012880053473</v>
      </c>
      <c r="W30">
        <f t="shared" si="46"/>
        <v>2326.5398042820034</v>
      </c>
      <c r="X30">
        <v>1361.8</v>
      </c>
      <c r="Y30">
        <f t="shared" si="11"/>
        <v>0.58533277509097548</v>
      </c>
      <c r="Z30" t="str">
        <f t="shared" si="12"/>
        <v>MC-C29</v>
      </c>
      <c r="AA30">
        <f t="shared" si="13"/>
        <v>490</v>
      </c>
      <c r="AB30">
        <f t="shared" si="47"/>
        <v>517.02058150931066</v>
      </c>
      <c r="AC30">
        <f t="shared" si="14"/>
        <v>490.5313485704678</v>
      </c>
      <c r="AD30">
        <f t="shared" si="15"/>
        <v>305.56904784310274</v>
      </c>
      <c r="AE30">
        <f t="shared" si="16"/>
        <v>448.60656040559837</v>
      </c>
      <c r="AF30">
        <f t="shared" si="38"/>
        <v>2410.4172400968414</v>
      </c>
      <c r="AG30">
        <f t="shared" si="18"/>
        <v>0.56496442912318701</v>
      </c>
    </row>
    <row r="31" spans="1:33" x14ac:dyDescent="0.25">
      <c r="A31">
        <v>30</v>
      </c>
      <c r="B31">
        <v>355</v>
      </c>
      <c r="C31">
        <v>205</v>
      </c>
      <c r="D31">
        <v>0.2</v>
      </c>
      <c r="E31">
        <v>12000</v>
      </c>
      <c r="F31">
        <v>270</v>
      </c>
      <c r="G31">
        <f t="shared" si="1"/>
        <v>312</v>
      </c>
      <c r="H31">
        <v>6</v>
      </c>
      <c r="I31">
        <f t="shared" si="39"/>
        <v>45</v>
      </c>
      <c r="J31">
        <f t="shared" si="48"/>
        <v>0.94604146249571819</v>
      </c>
      <c r="K31">
        <f t="shared" si="40"/>
        <v>1.35</v>
      </c>
      <c r="L31">
        <f t="shared" si="0"/>
        <v>12</v>
      </c>
      <c r="M31">
        <v>3.5</v>
      </c>
      <c r="N31">
        <f t="shared" si="41"/>
        <v>325</v>
      </c>
      <c r="O31">
        <f t="shared" si="49"/>
        <v>203400</v>
      </c>
      <c r="P31">
        <f t="shared" si="50"/>
        <v>6480</v>
      </c>
      <c r="Q31">
        <f t="shared" si="51"/>
        <v>678.58401317539528</v>
      </c>
      <c r="R31">
        <f t="shared" si="42"/>
        <v>7158.5840131753957</v>
      </c>
      <c r="S31">
        <f t="shared" si="6"/>
        <v>110137017.87831528</v>
      </c>
      <c r="T31">
        <f t="shared" si="43"/>
        <v>124.03752544879589</v>
      </c>
      <c r="U31">
        <f t="shared" si="44"/>
        <v>96.744916158084251</v>
      </c>
      <c r="V31">
        <f t="shared" si="45"/>
        <v>1.2309615456064167</v>
      </c>
      <c r="W31">
        <f t="shared" si="46"/>
        <v>2326.5398042820034</v>
      </c>
      <c r="X31">
        <v>1137.8</v>
      </c>
      <c r="Y31">
        <f t="shared" si="11"/>
        <v>0.48905245373660733</v>
      </c>
      <c r="Z31" t="str">
        <f t="shared" si="12"/>
        <v>MC-C30</v>
      </c>
      <c r="AA31">
        <f t="shared" si="13"/>
        <v>490</v>
      </c>
      <c r="AB31">
        <f>C31/(0.2+185*C31/193000)</f>
        <v>517.02058150931066</v>
      </c>
      <c r="AC31">
        <f t="shared" si="14"/>
        <v>490.5313485704678</v>
      </c>
      <c r="AD31">
        <f t="shared" si="15"/>
        <v>305.56904784310274</v>
      </c>
      <c r="AE31">
        <f t="shared" si="16"/>
        <v>448.60656040559837</v>
      </c>
      <c r="AF31">
        <f>(AE31*Q31+N31*P31)/1000</f>
        <v>2410.4172400968414</v>
      </c>
      <c r="AG31">
        <f t="shared" si="18"/>
        <v>0.47203445987396253</v>
      </c>
    </row>
    <row r="32" spans="1:33" x14ac:dyDescent="0.25">
      <c r="A32">
        <v>31</v>
      </c>
      <c r="B32">
        <v>355</v>
      </c>
      <c r="C32">
        <v>205</v>
      </c>
      <c r="D32">
        <v>0.2</v>
      </c>
      <c r="E32">
        <v>14000</v>
      </c>
      <c r="F32">
        <v>270</v>
      </c>
      <c r="G32">
        <f t="shared" si="1"/>
        <v>312</v>
      </c>
      <c r="H32">
        <v>6</v>
      </c>
      <c r="I32">
        <f t="shared" si="39"/>
        <v>45</v>
      </c>
      <c r="J32">
        <f t="shared" si="48"/>
        <v>0.94604146249571819</v>
      </c>
      <c r="K32">
        <f t="shared" si="40"/>
        <v>1.35</v>
      </c>
      <c r="L32">
        <f t="shared" si="0"/>
        <v>14</v>
      </c>
      <c r="M32">
        <v>3.5</v>
      </c>
      <c r="N32">
        <f t="shared" si="41"/>
        <v>325</v>
      </c>
      <c r="O32">
        <f t="shared" si="49"/>
        <v>203400</v>
      </c>
      <c r="P32">
        <f t="shared" si="50"/>
        <v>6480</v>
      </c>
      <c r="Q32">
        <f t="shared" si="51"/>
        <v>678.58401317539528</v>
      </c>
      <c r="R32">
        <f t="shared" si="42"/>
        <v>7158.5840131753957</v>
      </c>
      <c r="S32">
        <f t="shared" si="6"/>
        <v>110137017.87831528</v>
      </c>
      <c r="T32">
        <f t="shared" si="43"/>
        <v>124.03752544879589</v>
      </c>
      <c r="U32">
        <f t="shared" si="44"/>
        <v>112.86906885109829</v>
      </c>
      <c r="V32">
        <f t="shared" si="45"/>
        <v>1.4361218032074863</v>
      </c>
      <c r="W32">
        <f t="shared" si="46"/>
        <v>2326.5398042820034</v>
      </c>
      <c r="X32">
        <v>961.1</v>
      </c>
      <c r="Y32">
        <f t="shared" si="11"/>
        <v>0.41310275381108574</v>
      </c>
      <c r="Z32" t="str">
        <f t="shared" si="12"/>
        <v>MC-C31</v>
      </c>
      <c r="AA32">
        <f t="shared" si="13"/>
        <v>490</v>
      </c>
      <c r="AB32">
        <f>C32/(0.2+185*C32/193000)</f>
        <v>517.02058150931066</v>
      </c>
      <c r="AC32">
        <f t="shared" si="14"/>
        <v>490.5313485704678</v>
      </c>
      <c r="AD32">
        <f t="shared" si="15"/>
        <v>305.56904784310274</v>
      </c>
      <c r="AE32">
        <f t="shared" si="16"/>
        <v>448.60656040559837</v>
      </c>
      <c r="AF32">
        <f t="shared" ref="AF32:AF34" si="52">(AE32*Q32+N32*P32)/1000</f>
        <v>2410.4172400968414</v>
      </c>
      <c r="AG32">
        <f t="shared" si="18"/>
        <v>0.39872764930995375</v>
      </c>
    </row>
    <row r="33" spans="1:33" x14ac:dyDescent="0.25">
      <c r="A33">
        <v>32</v>
      </c>
      <c r="B33">
        <v>355</v>
      </c>
      <c r="C33">
        <v>205</v>
      </c>
      <c r="D33">
        <v>0.2</v>
      </c>
      <c r="E33">
        <v>16000</v>
      </c>
      <c r="F33">
        <v>270</v>
      </c>
      <c r="G33">
        <f t="shared" si="1"/>
        <v>312</v>
      </c>
      <c r="H33">
        <v>6</v>
      </c>
      <c r="I33">
        <f t="shared" si="39"/>
        <v>45</v>
      </c>
      <c r="J33">
        <f t="shared" si="48"/>
        <v>0.94604146249571819</v>
      </c>
      <c r="K33">
        <f t="shared" si="40"/>
        <v>1.35</v>
      </c>
      <c r="L33">
        <f t="shared" si="0"/>
        <v>16</v>
      </c>
      <c r="M33">
        <v>3.5</v>
      </c>
      <c r="N33">
        <f t="shared" si="41"/>
        <v>325</v>
      </c>
      <c r="O33">
        <f t="shared" si="49"/>
        <v>203400</v>
      </c>
      <c r="P33">
        <f t="shared" si="50"/>
        <v>6480</v>
      </c>
      <c r="Q33">
        <f t="shared" si="51"/>
        <v>678.58401317539528</v>
      </c>
      <c r="R33">
        <f t="shared" si="42"/>
        <v>7158.5840131753957</v>
      </c>
      <c r="S33">
        <f t="shared" si="6"/>
        <v>110137017.87831528</v>
      </c>
      <c r="T33">
        <f t="shared" si="43"/>
        <v>124.03752544879589</v>
      </c>
      <c r="U33">
        <f t="shared" si="44"/>
        <v>128.99322154411234</v>
      </c>
      <c r="V33">
        <f t="shared" si="45"/>
        <v>1.6412820608085557</v>
      </c>
      <c r="W33">
        <f t="shared" si="46"/>
        <v>2326.5398042820034</v>
      </c>
      <c r="X33">
        <v>763.9</v>
      </c>
      <c r="Y33">
        <f t="shared" si="11"/>
        <v>0.32834168519018664</v>
      </c>
      <c r="Z33" t="str">
        <f t="shared" si="12"/>
        <v>MC-C32</v>
      </c>
      <c r="AA33">
        <f t="shared" si="13"/>
        <v>490</v>
      </c>
      <c r="AB33">
        <f>C33/(0.2+185*C33/193000)</f>
        <v>517.02058150931066</v>
      </c>
      <c r="AC33">
        <f t="shared" si="14"/>
        <v>490.5313485704678</v>
      </c>
      <c r="AD33">
        <f t="shared" si="15"/>
        <v>305.56904784310274</v>
      </c>
      <c r="AE33">
        <f t="shared" si="16"/>
        <v>448.60656040559837</v>
      </c>
      <c r="AF33">
        <f t="shared" si="52"/>
        <v>2410.4172400968414</v>
      </c>
      <c r="AG33">
        <f t="shared" si="18"/>
        <v>0.31691608709590435</v>
      </c>
    </row>
    <row r="34" spans="1:33" x14ac:dyDescent="0.25">
      <c r="A34">
        <v>33</v>
      </c>
      <c r="B34">
        <v>355</v>
      </c>
      <c r="C34">
        <v>205</v>
      </c>
      <c r="D34">
        <v>0.2</v>
      </c>
      <c r="E34">
        <v>18000</v>
      </c>
      <c r="F34">
        <v>270</v>
      </c>
      <c r="G34">
        <f t="shared" si="1"/>
        <v>312</v>
      </c>
      <c r="H34">
        <v>6</v>
      </c>
      <c r="I34">
        <f t="shared" si="39"/>
        <v>45</v>
      </c>
      <c r="J34">
        <f t="shared" si="48"/>
        <v>0.94604146249571819</v>
      </c>
      <c r="K34">
        <f t="shared" si="40"/>
        <v>1.35</v>
      </c>
      <c r="L34">
        <f t="shared" si="0"/>
        <v>18</v>
      </c>
      <c r="M34">
        <v>3.5</v>
      </c>
      <c r="N34">
        <f t="shared" si="41"/>
        <v>325</v>
      </c>
      <c r="O34">
        <f t="shared" si="49"/>
        <v>203400</v>
      </c>
      <c r="P34">
        <f t="shared" si="50"/>
        <v>6480</v>
      </c>
      <c r="Q34">
        <f t="shared" si="51"/>
        <v>678.58401317539528</v>
      </c>
      <c r="R34">
        <f t="shared" si="42"/>
        <v>7158.5840131753957</v>
      </c>
      <c r="S34">
        <f t="shared" si="6"/>
        <v>110137017.87831528</v>
      </c>
      <c r="T34">
        <f t="shared" si="43"/>
        <v>124.03752544879589</v>
      </c>
      <c r="U34">
        <f t="shared" si="44"/>
        <v>145.11737423712637</v>
      </c>
      <c r="V34">
        <f t="shared" si="45"/>
        <v>1.846442318409625</v>
      </c>
      <c r="W34">
        <f t="shared" si="46"/>
        <v>2326.5398042820034</v>
      </c>
      <c r="X34">
        <v>613.4</v>
      </c>
      <c r="Y34">
        <f t="shared" si="11"/>
        <v>0.26365334428022053</v>
      </c>
      <c r="Z34" t="str">
        <f t="shared" si="12"/>
        <v>MC-C33</v>
      </c>
      <c r="AA34">
        <f t="shared" si="13"/>
        <v>490</v>
      </c>
      <c r="AB34">
        <f t="shared" ref="AB34" si="53">C34/(0.2+185*C34/193000)</f>
        <v>517.02058150931066</v>
      </c>
      <c r="AC34">
        <f t="shared" si="14"/>
        <v>490.5313485704678</v>
      </c>
      <c r="AD34">
        <f t="shared" si="15"/>
        <v>305.56904784310274</v>
      </c>
      <c r="AE34">
        <f t="shared" si="16"/>
        <v>448.60656040559837</v>
      </c>
      <c r="AF34">
        <f t="shared" si="52"/>
        <v>2410.4172400968414</v>
      </c>
      <c r="AG34">
        <f t="shared" si="18"/>
        <v>0.25447876400658165</v>
      </c>
    </row>
    <row r="35" spans="1:33" x14ac:dyDescent="0.25">
      <c r="A35">
        <v>34</v>
      </c>
      <c r="B35">
        <v>355</v>
      </c>
      <c r="C35">
        <v>205</v>
      </c>
      <c r="D35">
        <v>0.2</v>
      </c>
      <c r="E35">
        <v>2000</v>
      </c>
      <c r="F35">
        <v>270</v>
      </c>
      <c r="G35">
        <f t="shared" si="1"/>
        <v>324</v>
      </c>
      <c r="H35">
        <v>6</v>
      </c>
      <c r="I35">
        <f>F35/H35</f>
        <v>45</v>
      </c>
      <c r="J35">
        <f>SQRT(12*(1-0.3^2)*I35^2*N35/(4*PI()^2*O35))</f>
        <v>0.94604146249571819</v>
      </c>
      <c r="K35">
        <f>H35*I35/200</f>
        <v>1.35</v>
      </c>
      <c r="L35">
        <f t="shared" si="0"/>
        <v>2</v>
      </c>
      <c r="M35">
        <v>4.5</v>
      </c>
      <c r="N35">
        <f>D35*C35+(1-D35)*B35</f>
        <v>325</v>
      </c>
      <c r="O35">
        <f>193000*D35+(1-D35)*206000</f>
        <v>203400</v>
      </c>
      <c r="P35">
        <f>H35*I35*H35*4</f>
        <v>6480</v>
      </c>
      <c r="Q35">
        <f>PI()*(M35*H35)^2-PI()*((M35-1)*H35)^2</f>
        <v>904.7786842338603</v>
      </c>
      <c r="R35">
        <f>P35+Q35</f>
        <v>7384.7786842338601</v>
      </c>
      <c r="S35">
        <f t="shared" si="6"/>
        <v>122109319.28530051</v>
      </c>
      <c r="T35">
        <f>SQRT(S35/R35)</f>
        <v>128.58954597475562</v>
      </c>
      <c r="U35">
        <f>E35/T35</f>
        <v>15.553363882260188</v>
      </c>
      <c r="V35">
        <f>U35/PI()*SQRT(N35/O35)</f>
        <v>0.19789766330048303</v>
      </c>
      <c r="W35">
        <f>R35*N35/1000</f>
        <v>2400.0530723760044</v>
      </c>
      <c r="X35">
        <v>1707.5</v>
      </c>
      <c r="Y35">
        <f t="shared" si="11"/>
        <v>0.71144260085449251</v>
      </c>
      <c r="Z35" t="str">
        <f t="shared" si="12"/>
        <v>MC-C34</v>
      </c>
      <c r="AA35">
        <f t="shared" si="13"/>
        <v>490</v>
      </c>
      <c r="AB35">
        <f>C35/(0.2+185*C35/193000)</f>
        <v>517.02058150931066</v>
      </c>
      <c r="AC35">
        <f t="shared" si="14"/>
        <v>472.16589361674886</v>
      </c>
      <c r="AD35">
        <f t="shared" si="15"/>
        <v>292.88506637012813</v>
      </c>
      <c r="AE35">
        <f t="shared" si="16"/>
        <v>432.72411162249233</v>
      </c>
      <c r="AF35">
        <f>(AE35*Q35+N35*P35)/1000</f>
        <v>2497.5195523500647</v>
      </c>
      <c r="AG35">
        <f t="shared" si="18"/>
        <v>0.68367833132409783</v>
      </c>
    </row>
    <row r="36" spans="1:33" x14ac:dyDescent="0.25">
      <c r="A36">
        <v>35</v>
      </c>
      <c r="B36">
        <v>355</v>
      </c>
      <c r="C36">
        <v>205</v>
      </c>
      <c r="D36">
        <v>0.2</v>
      </c>
      <c r="E36">
        <v>3000</v>
      </c>
      <c r="F36">
        <v>270</v>
      </c>
      <c r="G36">
        <f t="shared" si="1"/>
        <v>324</v>
      </c>
      <c r="H36">
        <v>6</v>
      </c>
      <c r="I36">
        <f t="shared" ref="I36:I45" si="54">F36/H36</f>
        <v>45</v>
      </c>
      <c r="J36">
        <f>SQRT(12*(1-0.3^2)*I36^2*N36/(4*PI()^2*O36))</f>
        <v>0.94604146249571819</v>
      </c>
      <c r="K36">
        <f t="shared" ref="K36:K45" si="55">H36*I36/200</f>
        <v>1.35</v>
      </c>
      <c r="L36">
        <f t="shared" si="0"/>
        <v>3</v>
      </c>
      <c r="M36">
        <v>4.5</v>
      </c>
      <c r="N36">
        <f t="shared" ref="N36:N45" si="56">D36*C36+(1-D36)*B36</f>
        <v>325</v>
      </c>
      <c r="O36">
        <f>193000*D36+(1-D36)*206000</f>
        <v>203400</v>
      </c>
      <c r="P36">
        <f>H36*I36*H36*4</f>
        <v>6480</v>
      </c>
      <c r="Q36">
        <f>PI()*(M36*H36)^2-PI()*((M36-1)*H36)^2</f>
        <v>904.7786842338603</v>
      </c>
      <c r="R36">
        <f t="shared" ref="R36:R45" si="57">P36+Q36</f>
        <v>7384.7786842338601</v>
      </c>
      <c r="S36">
        <f t="shared" si="6"/>
        <v>122109319.28530051</v>
      </c>
      <c r="T36">
        <f t="shared" ref="T36:T45" si="58">SQRT(S36/R36)</f>
        <v>128.58954597475562</v>
      </c>
      <c r="U36">
        <f t="shared" ref="U36:U45" si="59">E36/T36</f>
        <v>23.330045823390282</v>
      </c>
      <c r="V36">
        <f t="shared" ref="V36:V45" si="60">U36/PI()*SQRT(N36/O36)</f>
        <v>0.29684649495072457</v>
      </c>
      <c r="W36">
        <f t="shared" ref="W36:W45" si="61">R36*N36/1000</f>
        <v>2400.0530723760044</v>
      </c>
      <c r="X36">
        <v>1703.2</v>
      </c>
      <c r="Y36">
        <f t="shared" si="11"/>
        <v>0.70965097380695263</v>
      </c>
      <c r="Z36" t="str">
        <f t="shared" si="12"/>
        <v>MC-C35</v>
      </c>
      <c r="AA36">
        <f t="shared" si="13"/>
        <v>490</v>
      </c>
      <c r="AB36">
        <f>C36/(0.2+185*C36/193000)</f>
        <v>517.02058150931066</v>
      </c>
      <c r="AC36">
        <f t="shared" si="14"/>
        <v>472.16589361674886</v>
      </c>
      <c r="AD36">
        <f t="shared" si="15"/>
        <v>292.88506637012813</v>
      </c>
      <c r="AE36">
        <f t="shared" si="16"/>
        <v>432.72411162249233</v>
      </c>
      <c r="AF36">
        <f t="shared" ref="AF36:AF45" si="62">(AE36*Q36+N36*P36)/1000</f>
        <v>2497.5195523500647</v>
      </c>
      <c r="AG36">
        <f t="shared" si="18"/>
        <v>0.68195662308123184</v>
      </c>
    </row>
    <row r="37" spans="1:33" x14ac:dyDescent="0.25">
      <c r="A37">
        <v>36</v>
      </c>
      <c r="B37">
        <v>355</v>
      </c>
      <c r="C37">
        <v>205</v>
      </c>
      <c r="D37">
        <v>0.2</v>
      </c>
      <c r="E37">
        <v>4000</v>
      </c>
      <c r="F37">
        <v>270</v>
      </c>
      <c r="G37">
        <f t="shared" si="1"/>
        <v>324</v>
      </c>
      <c r="H37">
        <v>6</v>
      </c>
      <c r="I37">
        <f t="shared" si="54"/>
        <v>45</v>
      </c>
      <c r="J37">
        <f>SQRT(12*(1-0.3^2)*I37^2*N37/(4*PI()^2*O37))</f>
        <v>0.94604146249571819</v>
      </c>
      <c r="K37">
        <f t="shared" si="55"/>
        <v>1.35</v>
      </c>
      <c r="L37">
        <f t="shared" si="0"/>
        <v>4</v>
      </c>
      <c r="M37">
        <v>4.5</v>
      </c>
      <c r="N37">
        <f t="shared" si="56"/>
        <v>325</v>
      </c>
      <c r="O37">
        <f>193000*D37+(1-D37)*206000</f>
        <v>203400</v>
      </c>
      <c r="P37">
        <f>H37*I37*H37*4</f>
        <v>6480</v>
      </c>
      <c r="Q37">
        <f>PI()*(M37*H37)^2-PI()*((M37-1)*H37)^2</f>
        <v>904.7786842338603</v>
      </c>
      <c r="R37">
        <f t="shared" si="57"/>
        <v>7384.7786842338601</v>
      </c>
      <c r="S37">
        <f t="shared" si="6"/>
        <v>122109319.28530051</v>
      </c>
      <c r="T37">
        <f t="shared" si="58"/>
        <v>128.58954597475562</v>
      </c>
      <c r="U37">
        <f t="shared" si="59"/>
        <v>31.106727764520375</v>
      </c>
      <c r="V37">
        <f t="shared" si="60"/>
        <v>0.39579532660096606</v>
      </c>
      <c r="W37">
        <f t="shared" si="61"/>
        <v>2400.0530723760044</v>
      </c>
      <c r="X37">
        <v>1691.4</v>
      </c>
      <c r="Y37">
        <f t="shared" si="11"/>
        <v>0.70473441586254093</v>
      </c>
      <c r="Z37" t="str">
        <f t="shared" si="12"/>
        <v>MC-C36</v>
      </c>
      <c r="AA37">
        <f t="shared" si="13"/>
        <v>490</v>
      </c>
      <c r="AB37">
        <f>C37/(0.2+185*C37/193000)</f>
        <v>517.02058150931066</v>
      </c>
      <c r="AC37">
        <f t="shared" si="14"/>
        <v>472.16589361674886</v>
      </c>
      <c r="AD37">
        <f t="shared" si="15"/>
        <v>292.88506637012813</v>
      </c>
      <c r="AE37">
        <f t="shared" si="16"/>
        <v>432.72411162249233</v>
      </c>
      <c r="AF37">
        <f t="shared" si="62"/>
        <v>2497.5195523500647</v>
      </c>
      <c r="AG37">
        <f t="shared" si="18"/>
        <v>0.67723193534499504</v>
      </c>
    </row>
    <row r="38" spans="1:33" x14ac:dyDescent="0.25">
      <c r="A38">
        <v>37</v>
      </c>
      <c r="B38">
        <v>355</v>
      </c>
      <c r="C38">
        <v>205</v>
      </c>
      <c r="D38">
        <v>0.2</v>
      </c>
      <c r="E38">
        <v>5000</v>
      </c>
      <c r="F38">
        <v>270</v>
      </c>
      <c r="G38">
        <f t="shared" si="1"/>
        <v>324</v>
      </c>
      <c r="H38">
        <v>6</v>
      </c>
      <c r="I38">
        <f t="shared" si="54"/>
        <v>45</v>
      </c>
      <c r="J38">
        <f t="shared" ref="J38:J45" si="63">SQRT(12*(1-0.3^2)*I38^2*N38/(4*PI()^2*O38))</f>
        <v>0.94604146249571819</v>
      </c>
      <c r="K38">
        <f t="shared" si="55"/>
        <v>1.35</v>
      </c>
      <c r="L38">
        <f t="shared" si="0"/>
        <v>5</v>
      </c>
      <c r="M38">
        <v>4.5</v>
      </c>
      <c r="N38">
        <f t="shared" si="56"/>
        <v>325</v>
      </c>
      <c r="O38">
        <f t="shared" ref="O38:O45" si="64">193000*D38+(1-D38)*206000</f>
        <v>203400</v>
      </c>
      <c r="P38">
        <f t="shared" ref="P38:P45" si="65">H38*I38*H38*4</f>
        <v>6480</v>
      </c>
      <c r="Q38">
        <f t="shared" ref="Q38:Q45" si="66">PI()*(M38*H38)^2-PI()*((M38-1)*H38)^2</f>
        <v>904.7786842338603</v>
      </c>
      <c r="R38">
        <f t="shared" si="57"/>
        <v>7384.7786842338601</v>
      </c>
      <c r="S38">
        <f t="shared" si="6"/>
        <v>122109319.28530051</v>
      </c>
      <c r="T38">
        <f t="shared" si="58"/>
        <v>128.58954597475562</v>
      </c>
      <c r="U38">
        <f t="shared" si="59"/>
        <v>38.883409705650472</v>
      </c>
      <c r="V38">
        <f t="shared" si="60"/>
        <v>0.49474415825120766</v>
      </c>
      <c r="W38">
        <f t="shared" si="61"/>
        <v>2400.0530723760044</v>
      </c>
      <c r="X38">
        <v>1688.3</v>
      </c>
      <c r="Y38">
        <f t="shared" si="11"/>
        <v>0.7034427777585005</v>
      </c>
      <c r="Z38" t="str">
        <f t="shared" si="12"/>
        <v>MC-C37</v>
      </c>
      <c r="AA38">
        <f t="shared" si="13"/>
        <v>490</v>
      </c>
      <c r="AB38">
        <f t="shared" ref="AB38:AB45" si="67">C38/(0.2+185*C38/193000)</f>
        <v>517.02058150931066</v>
      </c>
      <c r="AC38">
        <f t="shared" si="14"/>
        <v>472.16589361674886</v>
      </c>
      <c r="AD38">
        <f t="shared" si="15"/>
        <v>292.88506637012813</v>
      </c>
      <c r="AE38">
        <f t="shared" si="16"/>
        <v>432.72411162249233</v>
      </c>
      <c r="AF38">
        <f t="shared" si="62"/>
        <v>2497.5195523500647</v>
      </c>
      <c r="AG38">
        <f t="shared" si="18"/>
        <v>0.67599070382106841</v>
      </c>
    </row>
    <row r="39" spans="1:33" x14ac:dyDescent="0.25">
      <c r="A39">
        <v>38</v>
      </c>
      <c r="B39">
        <v>355</v>
      </c>
      <c r="C39">
        <v>205</v>
      </c>
      <c r="D39">
        <v>0.2</v>
      </c>
      <c r="E39">
        <v>6000</v>
      </c>
      <c r="F39">
        <v>270</v>
      </c>
      <c r="G39">
        <f t="shared" si="1"/>
        <v>324</v>
      </c>
      <c r="H39">
        <v>6</v>
      </c>
      <c r="I39">
        <f t="shared" si="54"/>
        <v>45</v>
      </c>
      <c r="J39">
        <f t="shared" si="63"/>
        <v>0.94604146249571819</v>
      </c>
      <c r="K39">
        <f t="shared" si="55"/>
        <v>1.35</v>
      </c>
      <c r="L39">
        <f t="shared" si="0"/>
        <v>6</v>
      </c>
      <c r="M39">
        <v>4.5</v>
      </c>
      <c r="N39">
        <f t="shared" si="56"/>
        <v>325</v>
      </c>
      <c r="O39">
        <f t="shared" si="64"/>
        <v>203400</v>
      </c>
      <c r="P39">
        <f t="shared" si="65"/>
        <v>6480</v>
      </c>
      <c r="Q39">
        <f t="shared" si="66"/>
        <v>904.7786842338603</v>
      </c>
      <c r="R39">
        <f t="shared" si="57"/>
        <v>7384.7786842338601</v>
      </c>
      <c r="S39">
        <f t="shared" si="6"/>
        <v>122109319.28530051</v>
      </c>
      <c r="T39">
        <f t="shared" si="58"/>
        <v>128.58954597475562</v>
      </c>
      <c r="U39">
        <f t="shared" si="59"/>
        <v>46.660091646780565</v>
      </c>
      <c r="V39">
        <f t="shared" si="60"/>
        <v>0.59369298990144914</v>
      </c>
      <c r="W39">
        <f t="shared" si="61"/>
        <v>2400.0530723760044</v>
      </c>
      <c r="X39">
        <v>1667.9</v>
      </c>
      <c r="Y39">
        <f t="shared" si="11"/>
        <v>0.69494296571900915</v>
      </c>
      <c r="Z39" t="str">
        <f t="shared" si="12"/>
        <v>MC-C38</v>
      </c>
      <c r="AA39">
        <f t="shared" si="13"/>
        <v>490</v>
      </c>
      <c r="AB39">
        <f t="shared" si="67"/>
        <v>517.02058150931066</v>
      </c>
      <c r="AC39">
        <f t="shared" si="14"/>
        <v>472.16589361674886</v>
      </c>
      <c r="AD39">
        <f t="shared" si="15"/>
        <v>292.88506637012813</v>
      </c>
      <c r="AE39">
        <f t="shared" si="16"/>
        <v>432.72411162249233</v>
      </c>
      <c r="AF39">
        <f t="shared" si="62"/>
        <v>2497.5195523500647</v>
      </c>
      <c r="AG39">
        <f t="shared" si="18"/>
        <v>0.66782259959909973</v>
      </c>
    </row>
    <row r="40" spans="1:33" x14ac:dyDescent="0.25">
      <c r="A40">
        <v>39</v>
      </c>
      <c r="B40">
        <v>355</v>
      </c>
      <c r="C40">
        <v>205</v>
      </c>
      <c r="D40">
        <v>0.2</v>
      </c>
      <c r="E40">
        <v>8000</v>
      </c>
      <c r="F40">
        <v>270</v>
      </c>
      <c r="G40">
        <f t="shared" si="1"/>
        <v>324</v>
      </c>
      <c r="H40">
        <v>6</v>
      </c>
      <c r="I40">
        <f t="shared" si="54"/>
        <v>45</v>
      </c>
      <c r="J40">
        <f t="shared" si="63"/>
        <v>0.94604146249571819</v>
      </c>
      <c r="K40">
        <f t="shared" si="55"/>
        <v>1.35</v>
      </c>
      <c r="L40">
        <f t="shared" si="0"/>
        <v>8</v>
      </c>
      <c r="M40">
        <v>4.5</v>
      </c>
      <c r="N40">
        <f t="shared" si="56"/>
        <v>325</v>
      </c>
      <c r="O40">
        <f t="shared" si="64"/>
        <v>203400</v>
      </c>
      <c r="P40">
        <f t="shared" si="65"/>
        <v>6480</v>
      </c>
      <c r="Q40">
        <f t="shared" si="66"/>
        <v>904.7786842338603</v>
      </c>
      <c r="R40">
        <f t="shared" si="57"/>
        <v>7384.7786842338601</v>
      </c>
      <c r="S40">
        <f t="shared" si="6"/>
        <v>122109319.28530051</v>
      </c>
      <c r="T40">
        <f t="shared" si="58"/>
        <v>128.58954597475562</v>
      </c>
      <c r="U40">
        <f t="shared" si="59"/>
        <v>62.21345552904075</v>
      </c>
      <c r="V40">
        <f t="shared" si="60"/>
        <v>0.79159065320193212</v>
      </c>
      <c r="W40">
        <f t="shared" si="61"/>
        <v>2400.0530723760044</v>
      </c>
      <c r="X40">
        <v>1593.1</v>
      </c>
      <c r="Y40">
        <f t="shared" si="11"/>
        <v>0.66377698824087372</v>
      </c>
      <c r="Z40" t="str">
        <f t="shared" si="12"/>
        <v>MC-C39</v>
      </c>
      <c r="AA40">
        <f t="shared" si="13"/>
        <v>490</v>
      </c>
      <c r="AB40">
        <f t="shared" si="67"/>
        <v>517.02058150931066</v>
      </c>
      <c r="AC40">
        <f t="shared" si="14"/>
        <v>472.16589361674886</v>
      </c>
      <c r="AD40">
        <f t="shared" si="15"/>
        <v>292.88506637012813</v>
      </c>
      <c r="AE40">
        <f t="shared" si="16"/>
        <v>432.72411162249233</v>
      </c>
      <c r="AF40">
        <f t="shared" si="62"/>
        <v>2497.5195523500647</v>
      </c>
      <c r="AG40">
        <f t="shared" si="18"/>
        <v>0.6378728841185477</v>
      </c>
    </row>
    <row r="41" spans="1:33" x14ac:dyDescent="0.25">
      <c r="A41">
        <v>40</v>
      </c>
      <c r="B41">
        <v>355</v>
      </c>
      <c r="C41">
        <v>205</v>
      </c>
      <c r="D41">
        <v>0.2</v>
      </c>
      <c r="E41">
        <v>10000</v>
      </c>
      <c r="F41">
        <v>270</v>
      </c>
      <c r="G41">
        <f t="shared" si="1"/>
        <v>324</v>
      </c>
      <c r="H41">
        <v>6</v>
      </c>
      <c r="I41">
        <f t="shared" si="54"/>
        <v>45</v>
      </c>
      <c r="J41">
        <f t="shared" si="63"/>
        <v>0.94604146249571819</v>
      </c>
      <c r="K41">
        <f t="shared" si="55"/>
        <v>1.35</v>
      </c>
      <c r="L41">
        <f t="shared" si="0"/>
        <v>10</v>
      </c>
      <c r="M41">
        <v>4.5</v>
      </c>
      <c r="N41">
        <f t="shared" si="56"/>
        <v>325</v>
      </c>
      <c r="O41">
        <f t="shared" si="64"/>
        <v>203400</v>
      </c>
      <c r="P41">
        <f t="shared" si="65"/>
        <v>6480</v>
      </c>
      <c r="Q41">
        <f t="shared" si="66"/>
        <v>904.7786842338603</v>
      </c>
      <c r="R41">
        <f t="shared" si="57"/>
        <v>7384.7786842338601</v>
      </c>
      <c r="S41">
        <f t="shared" si="6"/>
        <v>122109319.28530051</v>
      </c>
      <c r="T41">
        <f t="shared" si="58"/>
        <v>128.58954597475562</v>
      </c>
      <c r="U41">
        <f t="shared" si="59"/>
        <v>77.766819411300943</v>
      </c>
      <c r="V41">
        <f t="shared" si="60"/>
        <v>0.98948831650241531</v>
      </c>
      <c r="W41">
        <f t="shared" si="61"/>
        <v>2400.0530723760044</v>
      </c>
      <c r="X41">
        <v>1441.3</v>
      </c>
      <c r="Y41">
        <f t="shared" si="11"/>
        <v>0.60052838688818744</v>
      </c>
      <c r="Z41" t="str">
        <f t="shared" si="12"/>
        <v>MC-C40</v>
      </c>
      <c r="AA41">
        <f t="shared" si="13"/>
        <v>490</v>
      </c>
      <c r="AB41">
        <f t="shared" si="67"/>
        <v>517.02058150931066</v>
      </c>
      <c r="AC41">
        <f t="shared" si="14"/>
        <v>472.16589361674886</v>
      </c>
      <c r="AD41">
        <f t="shared" si="15"/>
        <v>292.88506637012813</v>
      </c>
      <c r="AE41">
        <f t="shared" si="16"/>
        <v>432.72411162249233</v>
      </c>
      <c r="AF41">
        <f t="shared" si="62"/>
        <v>2497.5195523500647</v>
      </c>
      <c r="AG41">
        <f t="shared" si="18"/>
        <v>0.57709257917272161</v>
      </c>
    </row>
    <row r="42" spans="1:33" x14ac:dyDescent="0.25">
      <c r="A42">
        <v>41</v>
      </c>
      <c r="B42">
        <v>355</v>
      </c>
      <c r="C42">
        <v>205</v>
      </c>
      <c r="D42">
        <v>0.2</v>
      </c>
      <c r="E42">
        <v>12000</v>
      </c>
      <c r="F42">
        <v>270</v>
      </c>
      <c r="G42">
        <f t="shared" si="1"/>
        <v>324</v>
      </c>
      <c r="H42">
        <v>6</v>
      </c>
      <c r="I42">
        <f t="shared" si="54"/>
        <v>45</v>
      </c>
      <c r="J42">
        <f t="shared" si="63"/>
        <v>0.94604146249571819</v>
      </c>
      <c r="K42">
        <f t="shared" si="55"/>
        <v>1.35</v>
      </c>
      <c r="L42">
        <f t="shared" si="0"/>
        <v>12</v>
      </c>
      <c r="M42">
        <v>4.5</v>
      </c>
      <c r="N42">
        <f t="shared" si="56"/>
        <v>325</v>
      </c>
      <c r="O42">
        <f t="shared" si="64"/>
        <v>203400</v>
      </c>
      <c r="P42">
        <f t="shared" si="65"/>
        <v>6480</v>
      </c>
      <c r="Q42">
        <f t="shared" si="66"/>
        <v>904.7786842338603</v>
      </c>
      <c r="R42">
        <f t="shared" si="57"/>
        <v>7384.7786842338601</v>
      </c>
      <c r="S42">
        <f t="shared" si="6"/>
        <v>122109319.28530051</v>
      </c>
      <c r="T42">
        <f t="shared" si="58"/>
        <v>128.58954597475562</v>
      </c>
      <c r="U42">
        <f t="shared" si="59"/>
        <v>93.320183293561129</v>
      </c>
      <c r="V42">
        <f t="shared" si="60"/>
        <v>1.1873859798028983</v>
      </c>
      <c r="W42">
        <f t="shared" si="61"/>
        <v>2400.0530723760044</v>
      </c>
      <c r="X42">
        <v>1219.5999999999999</v>
      </c>
      <c r="Y42">
        <f t="shared" si="11"/>
        <v>0.50815542957665527</v>
      </c>
      <c r="Z42" t="str">
        <f t="shared" si="12"/>
        <v>MC-C41</v>
      </c>
      <c r="AA42">
        <f t="shared" si="13"/>
        <v>490</v>
      </c>
      <c r="AB42">
        <f t="shared" si="67"/>
        <v>517.02058150931066</v>
      </c>
      <c r="AC42">
        <f t="shared" si="14"/>
        <v>472.16589361674886</v>
      </c>
      <c r="AD42">
        <f t="shared" si="15"/>
        <v>292.88506637012813</v>
      </c>
      <c r="AE42">
        <f t="shared" si="16"/>
        <v>432.72411162249233</v>
      </c>
      <c r="AF42">
        <f t="shared" si="62"/>
        <v>2497.5195523500647</v>
      </c>
      <c r="AG42">
        <f t="shared" si="18"/>
        <v>0.48832450534867916</v>
      </c>
    </row>
    <row r="43" spans="1:33" x14ac:dyDescent="0.25">
      <c r="A43">
        <v>42</v>
      </c>
      <c r="B43">
        <v>355</v>
      </c>
      <c r="C43">
        <v>205</v>
      </c>
      <c r="D43">
        <v>0.2</v>
      </c>
      <c r="E43">
        <v>14000</v>
      </c>
      <c r="F43">
        <v>270</v>
      </c>
      <c r="G43">
        <f t="shared" si="1"/>
        <v>324</v>
      </c>
      <c r="H43">
        <v>6</v>
      </c>
      <c r="I43">
        <f t="shared" si="54"/>
        <v>45</v>
      </c>
      <c r="J43">
        <f t="shared" si="63"/>
        <v>0.94604146249571819</v>
      </c>
      <c r="K43">
        <f t="shared" si="55"/>
        <v>1.35</v>
      </c>
      <c r="L43">
        <f t="shared" si="0"/>
        <v>14</v>
      </c>
      <c r="M43">
        <v>4.5</v>
      </c>
      <c r="N43">
        <f t="shared" si="56"/>
        <v>325</v>
      </c>
      <c r="O43">
        <f t="shared" si="64"/>
        <v>203400</v>
      </c>
      <c r="P43">
        <f t="shared" si="65"/>
        <v>6480</v>
      </c>
      <c r="Q43">
        <f t="shared" si="66"/>
        <v>904.7786842338603</v>
      </c>
      <c r="R43">
        <f t="shared" si="57"/>
        <v>7384.7786842338601</v>
      </c>
      <c r="S43">
        <f t="shared" si="6"/>
        <v>122109319.28530051</v>
      </c>
      <c r="T43">
        <f t="shared" si="58"/>
        <v>128.58954597475562</v>
      </c>
      <c r="U43">
        <f t="shared" si="59"/>
        <v>108.87354717582132</v>
      </c>
      <c r="V43">
        <f t="shared" si="60"/>
        <v>1.3852836431033813</v>
      </c>
      <c r="W43">
        <f t="shared" si="61"/>
        <v>2400.0530723760044</v>
      </c>
      <c r="X43">
        <v>1050.2</v>
      </c>
      <c r="Y43">
        <f t="shared" si="11"/>
        <v>0.43757365705264306</v>
      </c>
      <c r="Z43" t="str">
        <f t="shared" si="12"/>
        <v>MC-C42</v>
      </c>
      <c r="AA43">
        <f t="shared" si="13"/>
        <v>490</v>
      </c>
      <c r="AB43">
        <f t="shared" si="67"/>
        <v>517.02058150931066</v>
      </c>
      <c r="AC43">
        <f t="shared" si="14"/>
        <v>472.16589361674886</v>
      </c>
      <c r="AD43">
        <f t="shared" si="15"/>
        <v>292.88506637012813</v>
      </c>
      <c r="AE43">
        <f t="shared" si="16"/>
        <v>432.72411162249233</v>
      </c>
      <c r="AF43">
        <f t="shared" si="62"/>
        <v>2497.5195523500647</v>
      </c>
      <c r="AG43">
        <f t="shared" si="18"/>
        <v>0.42049720852507616</v>
      </c>
    </row>
    <row r="44" spans="1:33" x14ac:dyDescent="0.25">
      <c r="A44">
        <v>43</v>
      </c>
      <c r="B44">
        <v>355</v>
      </c>
      <c r="C44">
        <v>205</v>
      </c>
      <c r="D44">
        <v>0.2</v>
      </c>
      <c r="E44">
        <v>16000</v>
      </c>
      <c r="F44">
        <v>270</v>
      </c>
      <c r="G44">
        <f t="shared" si="1"/>
        <v>324</v>
      </c>
      <c r="H44">
        <v>6</v>
      </c>
      <c r="I44">
        <f t="shared" si="54"/>
        <v>45</v>
      </c>
      <c r="J44">
        <f t="shared" si="63"/>
        <v>0.94604146249571819</v>
      </c>
      <c r="K44">
        <f t="shared" si="55"/>
        <v>1.35</v>
      </c>
      <c r="L44">
        <f t="shared" si="0"/>
        <v>16</v>
      </c>
      <c r="M44">
        <v>4.5</v>
      </c>
      <c r="N44">
        <f t="shared" si="56"/>
        <v>325</v>
      </c>
      <c r="O44">
        <f t="shared" si="64"/>
        <v>203400</v>
      </c>
      <c r="P44">
        <f t="shared" si="65"/>
        <v>6480</v>
      </c>
      <c r="Q44">
        <f t="shared" si="66"/>
        <v>904.7786842338603</v>
      </c>
      <c r="R44">
        <f t="shared" si="57"/>
        <v>7384.7786842338601</v>
      </c>
      <c r="S44">
        <f t="shared" si="6"/>
        <v>122109319.28530051</v>
      </c>
      <c r="T44">
        <f t="shared" si="58"/>
        <v>128.58954597475562</v>
      </c>
      <c r="U44">
        <f t="shared" si="59"/>
        <v>124.4269110580815</v>
      </c>
      <c r="V44">
        <f t="shared" si="60"/>
        <v>1.5831813064038642</v>
      </c>
      <c r="W44">
        <f t="shared" si="61"/>
        <v>2400.0530723760044</v>
      </c>
      <c r="X44">
        <v>838.6</v>
      </c>
      <c r="Y44">
        <f t="shared" si="11"/>
        <v>0.34940894001556511</v>
      </c>
      <c r="Z44" t="str">
        <f t="shared" si="12"/>
        <v>MC-C43</v>
      </c>
      <c r="AA44">
        <f t="shared" si="13"/>
        <v>490</v>
      </c>
      <c r="AB44">
        <f t="shared" si="67"/>
        <v>517.02058150931066</v>
      </c>
      <c r="AC44">
        <f t="shared" si="14"/>
        <v>472.16589361674886</v>
      </c>
      <c r="AD44">
        <f t="shared" si="15"/>
        <v>292.88506637012813</v>
      </c>
      <c r="AE44">
        <f t="shared" si="16"/>
        <v>432.72411162249233</v>
      </c>
      <c r="AF44">
        <f t="shared" si="62"/>
        <v>2497.5195523500647</v>
      </c>
      <c r="AG44">
        <f t="shared" si="18"/>
        <v>0.33577314708543982</v>
      </c>
    </row>
    <row r="45" spans="1:33" x14ac:dyDescent="0.25">
      <c r="A45">
        <v>44</v>
      </c>
      <c r="B45">
        <v>355</v>
      </c>
      <c r="C45">
        <v>205</v>
      </c>
      <c r="D45">
        <v>0.2</v>
      </c>
      <c r="E45">
        <v>18000</v>
      </c>
      <c r="F45">
        <v>270</v>
      </c>
      <c r="G45">
        <f t="shared" si="1"/>
        <v>324</v>
      </c>
      <c r="H45">
        <v>6</v>
      </c>
      <c r="I45">
        <f t="shared" si="54"/>
        <v>45</v>
      </c>
      <c r="J45">
        <f t="shared" si="63"/>
        <v>0.94604146249571819</v>
      </c>
      <c r="K45">
        <f t="shared" si="55"/>
        <v>1.35</v>
      </c>
      <c r="L45">
        <f t="shared" si="0"/>
        <v>18</v>
      </c>
      <c r="M45">
        <v>4.5</v>
      </c>
      <c r="N45">
        <f t="shared" si="56"/>
        <v>325</v>
      </c>
      <c r="O45">
        <f t="shared" si="64"/>
        <v>203400</v>
      </c>
      <c r="P45">
        <f t="shared" si="65"/>
        <v>6480</v>
      </c>
      <c r="Q45">
        <f t="shared" si="66"/>
        <v>904.7786842338603</v>
      </c>
      <c r="R45">
        <f t="shared" si="57"/>
        <v>7384.7786842338601</v>
      </c>
      <c r="S45">
        <f t="shared" si="6"/>
        <v>122109319.28530051</v>
      </c>
      <c r="T45">
        <f t="shared" si="58"/>
        <v>128.58954597475562</v>
      </c>
      <c r="U45">
        <f t="shared" si="59"/>
        <v>139.9802749403417</v>
      </c>
      <c r="V45">
        <f t="shared" si="60"/>
        <v>1.7810789697043476</v>
      </c>
      <c r="W45">
        <f t="shared" si="61"/>
        <v>2400.0530723760044</v>
      </c>
      <c r="X45">
        <v>676.5</v>
      </c>
      <c r="Y45">
        <f t="shared" si="11"/>
        <v>0.28186876689784141</v>
      </c>
      <c r="Z45" t="str">
        <f t="shared" si="12"/>
        <v>MC-C44</v>
      </c>
      <c r="AA45">
        <f t="shared" si="13"/>
        <v>490</v>
      </c>
      <c r="AB45">
        <f t="shared" si="67"/>
        <v>517.02058150931066</v>
      </c>
      <c r="AC45">
        <f t="shared" si="14"/>
        <v>472.16589361674886</v>
      </c>
      <c r="AD45">
        <f t="shared" si="15"/>
        <v>292.88506637012813</v>
      </c>
      <c r="AE45">
        <f t="shared" si="16"/>
        <v>432.72411162249233</v>
      </c>
      <c r="AF45">
        <f t="shared" si="62"/>
        <v>2497.5195523500647</v>
      </c>
      <c r="AG45">
        <f t="shared" si="18"/>
        <v>0.27086875030205104</v>
      </c>
    </row>
    <row r="46" spans="1:33" x14ac:dyDescent="0.25">
      <c r="A46">
        <v>45</v>
      </c>
      <c r="B46">
        <v>355</v>
      </c>
      <c r="C46">
        <v>205</v>
      </c>
      <c r="D46">
        <v>0.2</v>
      </c>
      <c r="E46">
        <v>2000</v>
      </c>
      <c r="F46">
        <v>270</v>
      </c>
      <c r="G46">
        <f t="shared" si="1"/>
        <v>336</v>
      </c>
      <c r="H46">
        <v>6</v>
      </c>
      <c r="I46">
        <f>F46/H46</f>
        <v>45</v>
      </c>
      <c r="J46">
        <f>SQRT(12*(1-0.3^2)*I46^2*N46/(4*PI()^2*O46))</f>
        <v>0.94604146249571819</v>
      </c>
      <c r="K46">
        <f>H46*I46/200</f>
        <v>1.35</v>
      </c>
      <c r="L46">
        <f t="shared" si="0"/>
        <v>2</v>
      </c>
      <c r="M46">
        <v>5.5</v>
      </c>
      <c r="N46">
        <f>D46*C46+(1-D46)*B46</f>
        <v>325</v>
      </c>
      <c r="O46">
        <f>193000*D46+(1-D46)*206000</f>
        <v>203400</v>
      </c>
      <c r="P46">
        <f>H46*I46*H46*4</f>
        <v>6480</v>
      </c>
      <c r="Q46">
        <f>PI()*(M46*H46)^2-PI()*((M46-1)*H46)^2</f>
        <v>1130.9733552923258</v>
      </c>
      <c r="R46">
        <f>P46+Q46</f>
        <v>7610.9733552923262</v>
      </c>
      <c r="S46">
        <f t="shared" si="6"/>
        <v>134879176.79018301</v>
      </c>
      <c r="T46">
        <f>SQRT(S46/R46)</f>
        <v>133.12277207528834</v>
      </c>
      <c r="U46">
        <f>E46/T46</f>
        <v>15.023725609236026</v>
      </c>
      <c r="V46">
        <f>U46/PI()*SQRT(N46/O46)</f>
        <v>0.19115865960845643</v>
      </c>
      <c r="W46">
        <f>R46*N46/1000</f>
        <v>2473.5663404700063</v>
      </c>
      <c r="X46">
        <v>1729.7</v>
      </c>
      <c r="Y46">
        <f t="shared" si="11"/>
        <v>0.69927374564424938</v>
      </c>
      <c r="Z46" t="str">
        <f t="shared" si="12"/>
        <v>MC-C45</v>
      </c>
      <c r="AA46">
        <f t="shared" si="13"/>
        <v>490</v>
      </c>
      <c r="AB46">
        <f>C46/(0.2+185*C46/193000)</f>
        <v>517.02058150931066</v>
      </c>
      <c r="AC46">
        <f t="shared" si="14"/>
        <v>458.89857374554873</v>
      </c>
      <c r="AD46">
        <f t="shared" si="15"/>
        <v>283.75598161340156</v>
      </c>
      <c r="AE46">
        <f t="shared" si="16"/>
        <v>421.06777384500498</v>
      </c>
      <c r="AF46">
        <f>(AE46*Q46+N46*P46)/1000</f>
        <v>2582.2164329909556</v>
      </c>
      <c r="AG46">
        <f t="shared" si="18"/>
        <v>0.66985089936729503</v>
      </c>
    </row>
    <row r="47" spans="1:33" x14ac:dyDescent="0.25">
      <c r="A47">
        <v>46</v>
      </c>
      <c r="B47">
        <v>355</v>
      </c>
      <c r="C47">
        <v>205</v>
      </c>
      <c r="D47">
        <v>0.2</v>
      </c>
      <c r="E47">
        <v>3000</v>
      </c>
      <c r="F47">
        <v>270</v>
      </c>
      <c r="G47">
        <f t="shared" si="1"/>
        <v>336</v>
      </c>
      <c r="H47">
        <v>6</v>
      </c>
      <c r="I47">
        <f t="shared" ref="I47:I56" si="68">F47/H47</f>
        <v>45</v>
      </c>
      <c r="J47">
        <f>SQRT(12*(1-0.3^2)*I47^2*N47/(4*PI()^2*O47))</f>
        <v>0.94604146249571819</v>
      </c>
      <c r="K47">
        <f t="shared" ref="K47:K56" si="69">H47*I47/200</f>
        <v>1.35</v>
      </c>
      <c r="L47">
        <f t="shared" si="0"/>
        <v>3</v>
      </c>
      <c r="M47">
        <v>5.5</v>
      </c>
      <c r="N47">
        <f t="shared" ref="N47:N56" si="70">D47*C47+(1-D47)*B47</f>
        <v>325</v>
      </c>
      <c r="O47">
        <f>193000*D47+(1-D47)*206000</f>
        <v>203400</v>
      </c>
      <c r="P47">
        <f>H47*I47*H47*4</f>
        <v>6480</v>
      </c>
      <c r="Q47">
        <f>PI()*(M47*H47)^2-PI()*((M47-1)*H47)^2</f>
        <v>1130.9733552923258</v>
      </c>
      <c r="R47">
        <f t="shared" ref="R47:R56" si="71">P47+Q47</f>
        <v>7610.9733552923262</v>
      </c>
      <c r="S47">
        <f t="shared" si="6"/>
        <v>134879176.79018301</v>
      </c>
      <c r="T47">
        <f t="shared" ref="T47:T56" si="72">SQRT(S47/R47)</f>
        <v>133.12277207528834</v>
      </c>
      <c r="U47">
        <f t="shared" ref="U47:U56" si="73">E47/T47</f>
        <v>22.53558841385404</v>
      </c>
      <c r="V47">
        <f t="shared" ref="V47:V56" si="74">U47/PI()*SQRT(N47/O47)</f>
        <v>0.28673798941268464</v>
      </c>
      <c r="W47">
        <f t="shared" ref="W47:W56" si="75">R47*N47/1000</f>
        <v>2473.5663404700063</v>
      </c>
      <c r="X47">
        <v>1733.9</v>
      </c>
      <c r="Y47">
        <f t="shared" si="11"/>
        <v>0.70097169889146338</v>
      </c>
      <c r="Z47" t="str">
        <f t="shared" si="12"/>
        <v>MC-C46</v>
      </c>
      <c r="AA47">
        <f t="shared" si="13"/>
        <v>490</v>
      </c>
      <c r="AB47">
        <f>C47/(0.2+185*C47/193000)</f>
        <v>517.02058150931066</v>
      </c>
      <c r="AC47">
        <f t="shared" si="14"/>
        <v>458.89857374554873</v>
      </c>
      <c r="AD47">
        <f t="shared" si="15"/>
        <v>283.75598161340156</v>
      </c>
      <c r="AE47">
        <f t="shared" si="16"/>
        <v>421.06777384500498</v>
      </c>
      <c r="AF47">
        <f t="shared" ref="AF47:AF54" si="76">(AE47*Q47+N47*P47)/1000</f>
        <v>2582.2164329909556</v>
      </c>
      <c r="AG47">
        <f t="shared" si="18"/>
        <v>0.67147740903795616</v>
      </c>
    </row>
    <row r="48" spans="1:33" x14ac:dyDescent="0.25">
      <c r="A48">
        <v>47</v>
      </c>
      <c r="B48">
        <v>355</v>
      </c>
      <c r="C48">
        <v>205</v>
      </c>
      <c r="D48">
        <v>0.2</v>
      </c>
      <c r="E48">
        <v>4000</v>
      </c>
      <c r="F48">
        <v>270</v>
      </c>
      <c r="G48">
        <f t="shared" si="1"/>
        <v>336</v>
      </c>
      <c r="H48">
        <v>6</v>
      </c>
      <c r="I48">
        <f t="shared" si="68"/>
        <v>45</v>
      </c>
      <c r="J48">
        <f>SQRT(12*(1-0.3^2)*I48^2*N48/(4*PI()^2*O48))</f>
        <v>0.94604146249571819</v>
      </c>
      <c r="K48">
        <f t="shared" si="69"/>
        <v>1.35</v>
      </c>
      <c r="L48">
        <f t="shared" si="0"/>
        <v>4</v>
      </c>
      <c r="M48">
        <v>5.5</v>
      </c>
      <c r="N48">
        <f t="shared" si="70"/>
        <v>325</v>
      </c>
      <c r="O48">
        <f>193000*D48+(1-D48)*206000</f>
        <v>203400</v>
      </c>
      <c r="P48">
        <f>H48*I48*H48*4</f>
        <v>6480</v>
      </c>
      <c r="Q48">
        <f>PI()*(M48*H48)^2-PI()*((M48-1)*H48)^2</f>
        <v>1130.9733552923258</v>
      </c>
      <c r="R48">
        <f t="shared" si="71"/>
        <v>7610.9733552923262</v>
      </c>
      <c r="S48">
        <f t="shared" si="6"/>
        <v>134879176.79018301</v>
      </c>
      <c r="T48">
        <f t="shared" si="72"/>
        <v>133.12277207528834</v>
      </c>
      <c r="U48">
        <f t="shared" si="73"/>
        <v>30.047451218472052</v>
      </c>
      <c r="V48">
        <f t="shared" si="74"/>
        <v>0.38231731921691287</v>
      </c>
      <c r="W48">
        <f t="shared" si="75"/>
        <v>2473.5663404700063</v>
      </c>
      <c r="X48">
        <v>1729.3</v>
      </c>
      <c r="Y48">
        <f t="shared" si="11"/>
        <v>0.69911203581118142</v>
      </c>
      <c r="Z48" t="str">
        <f t="shared" si="12"/>
        <v>MC-C47</v>
      </c>
      <c r="AA48">
        <f t="shared" si="13"/>
        <v>490</v>
      </c>
      <c r="AB48">
        <f>C48/(0.2+185*C48/193000)</f>
        <v>517.02058150931066</v>
      </c>
      <c r="AC48">
        <f t="shared" si="14"/>
        <v>458.89857374554873</v>
      </c>
      <c r="AD48">
        <f t="shared" si="15"/>
        <v>283.75598161340156</v>
      </c>
      <c r="AE48">
        <f t="shared" si="16"/>
        <v>421.06777384500498</v>
      </c>
      <c r="AF48">
        <f t="shared" si="76"/>
        <v>2582.2164329909556</v>
      </c>
      <c r="AG48">
        <f t="shared" si="18"/>
        <v>0.66969599368437482</v>
      </c>
    </row>
    <row r="49" spans="1:33" x14ac:dyDescent="0.25">
      <c r="A49">
        <v>48</v>
      </c>
      <c r="B49">
        <v>355</v>
      </c>
      <c r="C49">
        <v>205</v>
      </c>
      <c r="D49">
        <v>0.2</v>
      </c>
      <c r="E49">
        <v>5000</v>
      </c>
      <c r="F49">
        <v>270</v>
      </c>
      <c r="G49">
        <f t="shared" si="1"/>
        <v>336</v>
      </c>
      <c r="H49">
        <v>6</v>
      </c>
      <c r="I49">
        <f t="shared" si="68"/>
        <v>45</v>
      </c>
      <c r="J49">
        <f t="shared" ref="J49:J56" si="77">SQRT(12*(1-0.3^2)*I49^2*N49/(4*PI()^2*O49))</f>
        <v>0.94604146249571819</v>
      </c>
      <c r="K49">
        <f t="shared" si="69"/>
        <v>1.35</v>
      </c>
      <c r="L49">
        <f t="shared" si="0"/>
        <v>5</v>
      </c>
      <c r="M49">
        <v>5.5</v>
      </c>
      <c r="N49">
        <f t="shared" si="70"/>
        <v>325</v>
      </c>
      <c r="O49">
        <f t="shared" ref="O49:O56" si="78">193000*D49+(1-D49)*206000</f>
        <v>203400</v>
      </c>
      <c r="P49">
        <f t="shared" ref="P49:P56" si="79">H49*I49*H49*4</f>
        <v>6480</v>
      </c>
      <c r="Q49">
        <f t="shared" ref="Q49:Q56" si="80">PI()*(M49*H49)^2-PI()*((M49-1)*H49)^2</f>
        <v>1130.9733552923258</v>
      </c>
      <c r="R49">
        <f t="shared" si="71"/>
        <v>7610.9733552923262</v>
      </c>
      <c r="S49">
        <f t="shared" si="6"/>
        <v>134879176.79018301</v>
      </c>
      <c r="T49">
        <f t="shared" si="72"/>
        <v>133.12277207528834</v>
      </c>
      <c r="U49">
        <f t="shared" si="73"/>
        <v>37.559314023090067</v>
      </c>
      <c r="V49">
        <f t="shared" si="74"/>
        <v>0.47789664902114104</v>
      </c>
      <c r="W49">
        <f t="shared" si="75"/>
        <v>2473.5663404700063</v>
      </c>
      <c r="X49">
        <v>1723</v>
      </c>
      <c r="Y49">
        <f t="shared" si="11"/>
        <v>0.69656510594036058</v>
      </c>
      <c r="Z49" t="str">
        <f t="shared" si="12"/>
        <v>MC-C48</v>
      </c>
      <c r="AA49">
        <f t="shared" si="13"/>
        <v>490</v>
      </c>
      <c r="AB49">
        <f t="shared" ref="AB49:AB54" si="81">C49/(0.2+185*C49/193000)</f>
        <v>517.02058150931066</v>
      </c>
      <c r="AC49">
        <f t="shared" si="14"/>
        <v>458.89857374554873</v>
      </c>
      <c r="AD49">
        <f t="shared" si="15"/>
        <v>283.75598161340156</v>
      </c>
      <c r="AE49">
        <f t="shared" si="16"/>
        <v>421.06777384500498</v>
      </c>
      <c r="AF49">
        <f t="shared" si="76"/>
        <v>2582.2164329909556</v>
      </c>
      <c r="AG49">
        <f t="shared" si="18"/>
        <v>0.66725622917838312</v>
      </c>
    </row>
    <row r="50" spans="1:33" x14ac:dyDescent="0.25">
      <c r="A50">
        <v>49</v>
      </c>
      <c r="B50">
        <v>355</v>
      </c>
      <c r="C50">
        <v>205</v>
      </c>
      <c r="D50">
        <v>0.2</v>
      </c>
      <c r="E50">
        <v>6000</v>
      </c>
      <c r="F50">
        <v>270</v>
      </c>
      <c r="G50">
        <f t="shared" si="1"/>
        <v>336</v>
      </c>
      <c r="H50">
        <v>6</v>
      </c>
      <c r="I50">
        <f t="shared" si="68"/>
        <v>45</v>
      </c>
      <c r="J50">
        <f t="shared" si="77"/>
        <v>0.94604146249571819</v>
      </c>
      <c r="K50">
        <f t="shared" si="69"/>
        <v>1.35</v>
      </c>
      <c r="L50">
        <f t="shared" si="0"/>
        <v>6</v>
      </c>
      <c r="M50">
        <v>5.5</v>
      </c>
      <c r="N50">
        <f t="shared" si="70"/>
        <v>325</v>
      </c>
      <c r="O50">
        <f t="shared" si="78"/>
        <v>203400</v>
      </c>
      <c r="P50">
        <f t="shared" si="79"/>
        <v>6480</v>
      </c>
      <c r="Q50">
        <f t="shared" si="80"/>
        <v>1130.9733552923258</v>
      </c>
      <c r="R50">
        <f t="shared" si="71"/>
        <v>7610.9733552923262</v>
      </c>
      <c r="S50">
        <f t="shared" si="6"/>
        <v>134879176.79018301</v>
      </c>
      <c r="T50">
        <f t="shared" si="72"/>
        <v>133.12277207528834</v>
      </c>
      <c r="U50">
        <f t="shared" si="73"/>
        <v>45.071176827708079</v>
      </c>
      <c r="V50">
        <f t="shared" si="74"/>
        <v>0.57347597882536927</v>
      </c>
      <c r="W50">
        <f t="shared" si="75"/>
        <v>2473.5663404700063</v>
      </c>
      <c r="X50">
        <v>1711.3</v>
      </c>
      <c r="Y50">
        <f t="shared" si="11"/>
        <v>0.69183509332312187</v>
      </c>
      <c r="Z50" t="str">
        <f t="shared" si="12"/>
        <v>MC-C49</v>
      </c>
      <c r="AA50">
        <f t="shared" si="13"/>
        <v>490</v>
      </c>
      <c r="AB50">
        <f t="shared" si="81"/>
        <v>517.02058150931066</v>
      </c>
      <c r="AC50">
        <f t="shared" si="14"/>
        <v>458.89857374554873</v>
      </c>
      <c r="AD50">
        <f t="shared" si="15"/>
        <v>283.75598161340156</v>
      </c>
      <c r="AE50">
        <f t="shared" si="16"/>
        <v>421.06777384500498</v>
      </c>
      <c r="AF50">
        <f t="shared" si="76"/>
        <v>2582.2164329909556</v>
      </c>
      <c r="AG50">
        <f t="shared" si="18"/>
        <v>0.66272523795296978</v>
      </c>
    </row>
    <row r="51" spans="1:33" x14ac:dyDescent="0.25">
      <c r="A51">
        <v>50</v>
      </c>
      <c r="B51">
        <v>355</v>
      </c>
      <c r="C51">
        <v>205</v>
      </c>
      <c r="D51">
        <v>0.2</v>
      </c>
      <c r="E51">
        <v>8000</v>
      </c>
      <c r="F51">
        <v>270</v>
      </c>
      <c r="G51">
        <f t="shared" si="1"/>
        <v>336</v>
      </c>
      <c r="H51">
        <v>6</v>
      </c>
      <c r="I51">
        <f t="shared" si="68"/>
        <v>45</v>
      </c>
      <c r="J51">
        <f t="shared" si="77"/>
        <v>0.94604146249571819</v>
      </c>
      <c r="K51">
        <f t="shared" si="69"/>
        <v>1.35</v>
      </c>
      <c r="L51">
        <f t="shared" si="0"/>
        <v>8</v>
      </c>
      <c r="M51">
        <v>5.5</v>
      </c>
      <c r="N51">
        <f t="shared" si="70"/>
        <v>325</v>
      </c>
      <c r="O51">
        <f t="shared" si="78"/>
        <v>203400</v>
      </c>
      <c r="P51">
        <f t="shared" si="79"/>
        <v>6480</v>
      </c>
      <c r="Q51">
        <f t="shared" si="80"/>
        <v>1130.9733552923258</v>
      </c>
      <c r="R51">
        <f t="shared" si="71"/>
        <v>7610.9733552923262</v>
      </c>
      <c r="S51">
        <f t="shared" si="6"/>
        <v>134879176.79018301</v>
      </c>
      <c r="T51">
        <f t="shared" si="72"/>
        <v>133.12277207528834</v>
      </c>
      <c r="U51">
        <f t="shared" si="73"/>
        <v>60.094902436944103</v>
      </c>
      <c r="V51">
        <f t="shared" si="74"/>
        <v>0.76463463843382573</v>
      </c>
      <c r="W51">
        <f t="shared" si="75"/>
        <v>2473.5663404700063</v>
      </c>
      <c r="X51">
        <v>1649.8</v>
      </c>
      <c r="Y51">
        <f t="shared" si="11"/>
        <v>0.66697220648891864</v>
      </c>
      <c r="Z51" t="str">
        <f t="shared" si="12"/>
        <v>MC-C50</v>
      </c>
      <c r="AA51">
        <f t="shared" si="13"/>
        <v>490</v>
      </c>
      <c r="AB51">
        <f t="shared" si="81"/>
        <v>517.02058150931066</v>
      </c>
      <c r="AC51">
        <f t="shared" si="14"/>
        <v>458.89857374554873</v>
      </c>
      <c r="AD51">
        <f t="shared" si="15"/>
        <v>283.75598161340156</v>
      </c>
      <c r="AE51">
        <f t="shared" si="16"/>
        <v>421.06777384500498</v>
      </c>
      <c r="AF51">
        <f t="shared" si="76"/>
        <v>2582.2164329909556</v>
      </c>
      <c r="AG51">
        <f t="shared" si="18"/>
        <v>0.63890848920400256</v>
      </c>
    </row>
    <row r="52" spans="1:33" x14ac:dyDescent="0.25">
      <c r="A52">
        <v>51</v>
      </c>
      <c r="B52">
        <v>355</v>
      </c>
      <c r="C52">
        <v>205</v>
      </c>
      <c r="D52">
        <v>0.2</v>
      </c>
      <c r="E52">
        <v>10000</v>
      </c>
      <c r="F52">
        <v>270</v>
      </c>
      <c r="G52">
        <f t="shared" si="1"/>
        <v>336</v>
      </c>
      <c r="H52">
        <v>6</v>
      </c>
      <c r="I52">
        <f t="shared" si="68"/>
        <v>45</v>
      </c>
      <c r="J52">
        <f t="shared" si="77"/>
        <v>0.94604146249571819</v>
      </c>
      <c r="K52">
        <f t="shared" si="69"/>
        <v>1.35</v>
      </c>
      <c r="L52">
        <f t="shared" si="0"/>
        <v>10</v>
      </c>
      <c r="M52">
        <v>5.5</v>
      </c>
      <c r="N52">
        <f t="shared" si="70"/>
        <v>325</v>
      </c>
      <c r="O52">
        <f t="shared" si="78"/>
        <v>203400</v>
      </c>
      <c r="P52">
        <f t="shared" si="79"/>
        <v>6480</v>
      </c>
      <c r="Q52">
        <f t="shared" si="80"/>
        <v>1130.9733552923258</v>
      </c>
      <c r="R52">
        <f t="shared" si="71"/>
        <v>7610.9733552923262</v>
      </c>
      <c r="S52">
        <f t="shared" si="6"/>
        <v>134879176.79018301</v>
      </c>
      <c r="T52">
        <f t="shared" si="72"/>
        <v>133.12277207528834</v>
      </c>
      <c r="U52">
        <f t="shared" si="73"/>
        <v>75.118628046180135</v>
      </c>
      <c r="V52">
        <f t="shared" si="74"/>
        <v>0.95579329804228208</v>
      </c>
      <c r="W52">
        <f t="shared" si="75"/>
        <v>2473.5663404700063</v>
      </c>
      <c r="X52">
        <v>1516.9</v>
      </c>
      <c r="Y52">
        <f t="shared" si="11"/>
        <v>0.6132441144520796</v>
      </c>
      <c r="Z52" t="str">
        <f t="shared" si="12"/>
        <v>MC-C51</v>
      </c>
      <c r="AA52">
        <f t="shared" si="13"/>
        <v>490</v>
      </c>
      <c r="AB52">
        <f t="shared" si="81"/>
        <v>517.02058150931066</v>
      </c>
      <c r="AC52">
        <f t="shared" si="14"/>
        <v>458.89857374554873</v>
      </c>
      <c r="AD52">
        <f t="shared" si="15"/>
        <v>283.75598161340156</v>
      </c>
      <c r="AE52">
        <f t="shared" si="16"/>
        <v>421.06777384500498</v>
      </c>
      <c r="AF52">
        <f t="shared" si="76"/>
        <v>2582.2164329909556</v>
      </c>
      <c r="AG52">
        <f t="shared" si="18"/>
        <v>0.58744107605379536</v>
      </c>
    </row>
    <row r="53" spans="1:33" x14ac:dyDescent="0.25">
      <c r="A53">
        <v>52</v>
      </c>
      <c r="B53">
        <v>355</v>
      </c>
      <c r="C53">
        <v>205</v>
      </c>
      <c r="D53">
        <v>0.2</v>
      </c>
      <c r="E53">
        <v>12000</v>
      </c>
      <c r="F53">
        <v>270</v>
      </c>
      <c r="G53">
        <f t="shared" si="1"/>
        <v>336</v>
      </c>
      <c r="H53">
        <v>6</v>
      </c>
      <c r="I53">
        <f t="shared" si="68"/>
        <v>45</v>
      </c>
      <c r="J53">
        <f t="shared" si="77"/>
        <v>0.94604146249571819</v>
      </c>
      <c r="K53">
        <f t="shared" si="69"/>
        <v>1.35</v>
      </c>
      <c r="L53">
        <f t="shared" si="0"/>
        <v>12</v>
      </c>
      <c r="M53">
        <v>5.5</v>
      </c>
      <c r="N53">
        <f t="shared" si="70"/>
        <v>325</v>
      </c>
      <c r="O53">
        <f t="shared" si="78"/>
        <v>203400</v>
      </c>
      <c r="P53">
        <f t="shared" si="79"/>
        <v>6480</v>
      </c>
      <c r="Q53">
        <f t="shared" si="80"/>
        <v>1130.9733552923258</v>
      </c>
      <c r="R53">
        <f t="shared" si="71"/>
        <v>7610.9733552923262</v>
      </c>
      <c r="S53">
        <f t="shared" si="6"/>
        <v>134879176.79018301</v>
      </c>
      <c r="T53">
        <f t="shared" si="72"/>
        <v>133.12277207528834</v>
      </c>
      <c r="U53">
        <f t="shared" si="73"/>
        <v>90.142353655416159</v>
      </c>
      <c r="V53">
        <f t="shared" si="74"/>
        <v>1.1469519576507385</v>
      </c>
      <c r="W53">
        <f t="shared" si="75"/>
        <v>2473.5663404700063</v>
      </c>
      <c r="X53">
        <v>1309.7</v>
      </c>
      <c r="Y53">
        <f t="shared" si="11"/>
        <v>0.52947842092286146</v>
      </c>
      <c r="Z53" t="str">
        <f t="shared" si="12"/>
        <v>MC-C52</v>
      </c>
      <c r="AA53">
        <f t="shared" si="13"/>
        <v>490</v>
      </c>
      <c r="AB53">
        <f t="shared" si="81"/>
        <v>517.02058150931066</v>
      </c>
      <c r="AC53">
        <f t="shared" si="14"/>
        <v>458.89857374554873</v>
      </c>
      <c r="AD53">
        <f t="shared" si="15"/>
        <v>283.75598161340156</v>
      </c>
      <c r="AE53">
        <f t="shared" si="16"/>
        <v>421.06777384500498</v>
      </c>
      <c r="AF53">
        <f t="shared" si="76"/>
        <v>2582.2164329909556</v>
      </c>
      <c r="AG53">
        <f t="shared" si="18"/>
        <v>0.50719993230117721</v>
      </c>
    </row>
    <row r="54" spans="1:33" x14ac:dyDescent="0.25">
      <c r="A54">
        <v>53</v>
      </c>
      <c r="B54">
        <v>355</v>
      </c>
      <c r="C54">
        <v>205</v>
      </c>
      <c r="D54">
        <v>0.2</v>
      </c>
      <c r="E54">
        <v>14000</v>
      </c>
      <c r="F54">
        <v>270</v>
      </c>
      <c r="G54">
        <f t="shared" si="1"/>
        <v>336</v>
      </c>
      <c r="H54">
        <v>6</v>
      </c>
      <c r="I54">
        <f t="shared" si="68"/>
        <v>45</v>
      </c>
      <c r="J54">
        <f t="shared" si="77"/>
        <v>0.94604146249571819</v>
      </c>
      <c r="K54">
        <f t="shared" si="69"/>
        <v>1.35</v>
      </c>
      <c r="L54">
        <f t="shared" si="0"/>
        <v>14</v>
      </c>
      <c r="M54">
        <v>5.5</v>
      </c>
      <c r="N54">
        <f t="shared" si="70"/>
        <v>325</v>
      </c>
      <c r="O54">
        <f t="shared" si="78"/>
        <v>203400</v>
      </c>
      <c r="P54">
        <f t="shared" si="79"/>
        <v>6480</v>
      </c>
      <c r="Q54">
        <f t="shared" si="80"/>
        <v>1130.9733552923258</v>
      </c>
      <c r="R54">
        <f t="shared" si="71"/>
        <v>7610.9733552923262</v>
      </c>
      <c r="S54">
        <f t="shared" si="6"/>
        <v>134879176.79018301</v>
      </c>
      <c r="T54">
        <f t="shared" si="72"/>
        <v>133.12277207528834</v>
      </c>
      <c r="U54">
        <f t="shared" si="73"/>
        <v>105.16607926465218</v>
      </c>
      <c r="V54">
        <f t="shared" si="74"/>
        <v>1.338110617259195</v>
      </c>
      <c r="W54">
        <f t="shared" si="75"/>
        <v>2473.5663404700063</v>
      </c>
      <c r="X54">
        <v>1142.5</v>
      </c>
      <c r="Y54">
        <f t="shared" si="11"/>
        <v>0.46188371070044226</v>
      </c>
      <c r="Z54" t="str">
        <f t="shared" si="12"/>
        <v>MC-C53</v>
      </c>
      <c r="AA54">
        <f t="shared" si="13"/>
        <v>490</v>
      </c>
      <c r="AB54">
        <f t="shared" si="81"/>
        <v>517.02058150931066</v>
      </c>
      <c r="AC54">
        <f t="shared" si="14"/>
        <v>458.89857374554873</v>
      </c>
      <c r="AD54">
        <f t="shared" si="15"/>
        <v>283.75598161340156</v>
      </c>
      <c r="AE54">
        <f t="shared" si="16"/>
        <v>421.06777384500498</v>
      </c>
      <c r="AF54">
        <f t="shared" si="76"/>
        <v>2582.2164329909556</v>
      </c>
      <c r="AG54">
        <f t="shared" si="18"/>
        <v>0.44244935684057035</v>
      </c>
    </row>
    <row r="55" spans="1:33" x14ac:dyDescent="0.25">
      <c r="A55">
        <v>54</v>
      </c>
      <c r="B55">
        <v>355</v>
      </c>
      <c r="C55">
        <v>205</v>
      </c>
      <c r="D55">
        <v>0.2</v>
      </c>
      <c r="E55">
        <v>16000</v>
      </c>
      <c r="F55">
        <v>270</v>
      </c>
      <c r="G55">
        <f t="shared" si="1"/>
        <v>336</v>
      </c>
      <c r="H55">
        <v>6</v>
      </c>
      <c r="I55">
        <f t="shared" si="68"/>
        <v>45</v>
      </c>
      <c r="J55">
        <f t="shared" si="77"/>
        <v>0.94604146249571819</v>
      </c>
      <c r="K55">
        <f t="shared" si="69"/>
        <v>1.35</v>
      </c>
      <c r="L55">
        <f t="shared" si="0"/>
        <v>16</v>
      </c>
      <c r="M55">
        <v>5.5</v>
      </c>
      <c r="N55">
        <f t="shared" si="70"/>
        <v>325</v>
      </c>
      <c r="O55">
        <f t="shared" si="78"/>
        <v>203400</v>
      </c>
      <c r="P55">
        <f t="shared" si="79"/>
        <v>6480</v>
      </c>
      <c r="Q55">
        <f t="shared" si="80"/>
        <v>1130.9733552923258</v>
      </c>
      <c r="R55">
        <f t="shared" si="71"/>
        <v>7610.9733552923262</v>
      </c>
      <c r="S55">
        <f t="shared" si="6"/>
        <v>134879176.79018301</v>
      </c>
      <c r="T55">
        <f t="shared" si="72"/>
        <v>133.12277207528834</v>
      </c>
      <c r="U55">
        <f t="shared" si="73"/>
        <v>120.18980487388821</v>
      </c>
      <c r="V55">
        <f t="shared" si="74"/>
        <v>1.5292692768676515</v>
      </c>
      <c r="W55">
        <f t="shared" si="75"/>
        <v>2473.5663404700063</v>
      </c>
      <c r="X55">
        <v>917.7</v>
      </c>
      <c r="Y55">
        <f t="shared" si="11"/>
        <v>0.3710027845162327</v>
      </c>
      <c r="Z55" t="str">
        <f t="shared" si="12"/>
        <v>MC-C54</v>
      </c>
      <c r="AA55">
        <f t="shared" si="13"/>
        <v>490</v>
      </c>
      <c r="AB55">
        <f>C55/(0.2+185*C55/193000)</f>
        <v>517.02058150931066</v>
      </c>
      <c r="AC55">
        <f t="shared" si="14"/>
        <v>458.89857374554873</v>
      </c>
      <c r="AD55">
        <f t="shared" si="15"/>
        <v>283.75598161340156</v>
      </c>
      <c r="AE55">
        <f t="shared" si="16"/>
        <v>421.06777384500498</v>
      </c>
      <c r="AF55">
        <f>(AE55*Q55+N55*P55)/1000</f>
        <v>2582.2164329909556</v>
      </c>
      <c r="AG55">
        <f t="shared" si="18"/>
        <v>0.35539236303946731</v>
      </c>
    </row>
    <row r="56" spans="1:33" x14ac:dyDescent="0.25">
      <c r="A56">
        <v>55</v>
      </c>
      <c r="B56">
        <v>355</v>
      </c>
      <c r="C56">
        <v>205</v>
      </c>
      <c r="D56">
        <v>0.2</v>
      </c>
      <c r="E56">
        <v>18000</v>
      </c>
      <c r="F56">
        <v>270</v>
      </c>
      <c r="G56">
        <f t="shared" si="1"/>
        <v>336</v>
      </c>
      <c r="H56">
        <v>6</v>
      </c>
      <c r="I56">
        <f t="shared" si="68"/>
        <v>45</v>
      </c>
      <c r="J56">
        <f t="shared" si="77"/>
        <v>0.94604146249571819</v>
      </c>
      <c r="K56">
        <f t="shared" si="69"/>
        <v>1.35</v>
      </c>
      <c r="L56">
        <f t="shared" si="0"/>
        <v>18</v>
      </c>
      <c r="M56">
        <v>5.5</v>
      </c>
      <c r="N56">
        <f t="shared" si="70"/>
        <v>325</v>
      </c>
      <c r="O56">
        <f t="shared" si="78"/>
        <v>203400</v>
      </c>
      <c r="P56">
        <f t="shared" si="79"/>
        <v>6480</v>
      </c>
      <c r="Q56">
        <f t="shared" si="80"/>
        <v>1130.9733552923258</v>
      </c>
      <c r="R56">
        <f t="shared" si="71"/>
        <v>7610.9733552923262</v>
      </c>
      <c r="S56">
        <f t="shared" si="6"/>
        <v>134879176.79018301</v>
      </c>
      <c r="T56">
        <f t="shared" si="72"/>
        <v>133.12277207528834</v>
      </c>
      <c r="U56">
        <f t="shared" si="73"/>
        <v>135.21353048312423</v>
      </c>
      <c r="V56">
        <f t="shared" si="74"/>
        <v>1.7204279364761079</v>
      </c>
      <c r="W56">
        <f t="shared" si="75"/>
        <v>2473.5663404700063</v>
      </c>
      <c r="X56">
        <v>742</v>
      </c>
      <c r="Y56">
        <f t="shared" si="11"/>
        <v>0.29997174034111873</v>
      </c>
      <c r="Z56" t="str">
        <f t="shared" si="12"/>
        <v>MC-C55</v>
      </c>
      <c r="AA56">
        <f t="shared" si="13"/>
        <v>490</v>
      </c>
      <c r="AB56">
        <f>C56/(0.2+185*C56/193000)</f>
        <v>517.02058150931066</v>
      </c>
      <c r="AC56">
        <f t="shared" si="14"/>
        <v>458.89857374554873</v>
      </c>
      <c r="AD56">
        <f t="shared" si="15"/>
        <v>283.75598161340156</v>
      </c>
      <c r="AE56">
        <f t="shared" si="16"/>
        <v>421.06777384500498</v>
      </c>
      <c r="AF56">
        <f t="shared" ref="AF56" si="82">(AE56*Q56+N56*P56)/1000</f>
        <v>2582.2164329909556</v>
      </c>
      <c r="AG56">
        <f t="shared" si="18"/>
        <v>0.28735004181680807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6919-7989-4144-AAE0-FAE58CB47753}">
  <dimension ref="A1:AG89"/>
  <sheetViews>
    <sheetView topLeftCell="C1" workbookViewId="0">
      <selection activeCell="Y2" sqref="Y2:Y21"/>
    </sheetView>
  </sheetViews>
  <sheetFormatPr defaultRowHeight="13.8" x14ac:dyDescent="0.25"/>
  <sheetData>
    <row r="1" spans="1:3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t="s">
        <v>4</v>
      </c>
      <c r="H1" s="4" t="s">
        <v>5</v>
      </c>
      <c r="I1" s="4" t="s">
        <v>6</v>
      </c>
      <c r="J1" s="6" t="s">
        <v>26</v>
      </c>
      <c r="K1" s="1" t="s">
        <v>25</v>
      </c>
      <c r="L1" s="1" t="s">
        <v>24</v>
      </c>
      <c r="M1" s="1" t="s">
        <v>22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28</v>
      </c>
      <c r="T1" t="s">
        <v>23</v>
      </c>
      <c r="U1" t="s">
        <v>29</v>
      </c>
      <c r="V1" s="5" t="s">
        <v>27</v>
      </c>
      <c r="W1" s="2" t="s">
        <v>12</v>
      </c>
      <c r="X1" s="2" t="s">
        <v>13</v>
      </c>
      <c r="Y1" s="3" t="s">
        <v>14</v>
      </c>
      <c r="Z1" s="3" t="s">
        <v>32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s="2" t="s">
        <v>20</v>
      </c>
      <c r="AG1" s="3" t="s">
        <v>21</v>
      </c>
    </row>
    <row r="2" spans="1:33" x14ac:dyDescent="0.25">
      <c r="A2">
        <v>1</v>
      </c>
      <c r="B2">
        <v>355</v>
      </c>
      <c r="C2">
        <v>205</v>
      </c>
      <c r="D2">
        <v>0.2</v>
      </c>
      <c r="E2">
        <f>U2*T2</f>
        <v>5416.7335824947168</v>
      </c>
      <c r="F2">
        <v>270</v>
      </c>
      <c r="G2">
        <f>F2+2*H2*M2</f>
        <v>288</v>
      </c>
      <c r="H2">
        <v>6</v>
      </c>
      <c r="I2">
        <f>F2/H2</f>
        <v>45</v>
      </c>
      <c r="J2">
        <f>SQRT(12*(1-0.3^2)*I2^2*N2/(4*PI()^2*O2))</f>
        <v>0.94604146249571819</v>
      </c>
      <c r="K2">
        <f>H2*I2/200</f>
        <v>1.35</v>
      </c>
      <c r="L2">
        <f t="shared" ref="L2:L6" si="0">E2/1000</f>
        <v>5.4167335824947171</v>
      </c>
      <c r="M2">
        <v>1.5</v>
      </c>
      <c r="N2">
        <f>D2*C2+(1-D2)*B2</f>
        <v>325</v>
      </c>
      <c r="O2">
        <f>193000*D2+(1-D2)*206000</f>
        <v>203400</v>
      </c>
      <c r="P2">
        <f>H2*I2*H2*4</f>
        <v>6480</v>
      </c>
      <c r="Q2">
        <f>PI()*(M2*H2)^2-PI()*((M2-1)*H2)^2</f>
        <v>226.1946710584651</v>
      </c>
      <c r="R2">
        <f>P2+Q2</f>
        <v>6706.1946710584652</v>
      </c>
      <c r="S2">
        <f>1/12*H2*(H2*I2)^3*2+(1/12*(H2*I2)*H2^3+(H2*I2)*H2*(G2/2-H2/2)^2)*2+PI()/8*((M2*H2)^4-((M2-1)*H2)^4)*2+1/2*PI()*((M2*H2)^2-((M2-1)*H2)^2)*(-1*((4*((M2*H2)^3-((M2-1)*H2)^3))/(3*PI()*((M2*H2)^2-((M2-1)*H2)^2)))^2+1*((4*((M2*H2)^3-((M2-1)*H2)^3))/(3*PI()*((M2*H2)^2-((M2-1)*H2)^2))+H2*I2/2)^2)*2</f>
        <v>88487367.260139346</v>
      </c>
      <c r="T2">
        <f>SQRT(S2/R2)</f>
        <v>114.86892554902659</v>
      </c>
      <c r="U2">
        <f>PI()*V2*SQRT(O2/N2)</f>
        <v>47.155778262963118</v>
      </c>
      <c r="V2">
        <v>0.6</v>
      </c>
      <c r="W2">
        <f>R2*N2/1000</f>
        <v>2179.5132680940014</v>
      </c>
      <c r="X2">
        <v>1566.6</v>
      </c>
      <c r="Y2">
        <f>X2/W2</f>
        <v>0.71878433728003954</v>
      </c>
      <c r="Z2" t="str">
        <f>"MC-cn"&amp;A2</f>
        <v>MC-cn1</v>
      </c>
      <c r="AA2">
        <f>IF(B2=235,360,IF(B2=355,490,560))</f>
        <v>490</v>
      </c>
      <c r="AB2">
        <f>C2/(0.2+185*C2/193000)</f>
        <v>517.02058150931066</v>
      </c>
      <c r="AC2">
        <f>B2*(2.769*(AA2/B2)-0.581*(AA2/B2)^2-1.182)/((M2-1)^(0.314*(AA2/B2)-0.32))</f>
        <v>588.75671369876318</v>
      </c>
      <c r="AD2">
        <f>1.673*C2/(M2-1)^0.126</f>
        <v>374.26531559414582</v>
      </c>
      <c r="AE2">
        <f>AC2*(1-((2*M2*H2-D2*H2)/(2*M2*H2-H2)*D2))+AD2*((2*M2*H2-D2*H2)/(2*M2*H2-H2)*D2)</f>
        <v>528.69912222947028</v>
      </c>
      <c r="AF2">
        <f>(AE2*Q2+N2*P2)/1000</f>
        <v>2225.5889240415945</v>
      </c>
      <c r="AG2">
        <f>X2/AF2</f>
        <v>0.70390357494910027</v>
      </c>
    </row>
    <row r="3" spans="1:33" x14ac:dyDescent="0.25">
      <c r="A3">
        <v>2</v>
      </c>
      <c r="B3">
        <v>355</v>
      </c>
      <c r="C3">
        <v>205</v>
      </c>
      <c r="D3">
        <v>0.2</v>
      </c>
      <c r="E3">
        <f t="shared" ref="E3:E6" si="1">U3*T3</f>
        <v>5633.4528534173669</v>
      </c>
      <c r="F3">
        <v>270</v>
      </c>
      <c r="G3">
        <f>F3+2*H3*M3</f>
        <v>300</v>
      </c>
      <c r="H3">
        <v>6</v>
      </c>
      <c r="I3">
        <f t="shared" ref="I3:I6" si="2">F3/H3</f>
        <v>45</v>
      </c>
      <c r="J3">
        <f t="shared" ref="J3:J6" si="3">SQRT(12*(1-0.3^2)*I3^2*N3/(4*PI()^2*O3))</f>
        <v>0.94604146249571819</v>
      </c>
      <c r="K3">
        <f t="shared" ref="K3:K6" si="4">H3*I3/200</f>
        <v>1.35</v>
      </c>
      <c r="L3">
        <f t="shared" si="0"/>
        <v>5.6334528534173671</v>
      </c>
      <c r="M3">
        <v>2.5</v>
      </c>
      <c r="N3">
        <f>D3*C3+(1-D3)*B3</f>
        <v>325</v>
      </c>
      <c r="O3">
        <f t="shared" ref="O3:O6" si="5">193000*D3+(1-D3)*206000</f>
        <v>203400</v>
      </c>
      <c r="P3">
        <f t="shared" ref="P3:P6" si="6">H3*I3*H3*4</f>
        <v>6480</v>
      </c>
      <c r="Q3">
        <f t="shared" ref="Q3:Q6" si="7">PI()*(M3*H3)^2-PI()*((M3-1)*H3)^2</f>
        <v>452.38934211693021</v>
      </c>
      <c r="R3">
        <f t="shared" ref="R3:R6" si="8">P3+Q3</f>
        <v>6932.3893421169305</v>
      </c>
      <c r="S3">
        <f t="shared" ref="S3:S21" si="9">1/12*H3*(H3*I3)^3*2+(1/12*(H3*I3)*H3^3+(H3*I3)*H3*(G3/2-H3/2)^2)*2+PI()/8*((M3*H3)^4-((M3-1)*H3)^4)*2+1/2*PI()*((M3*H3)^2-((M3-1)*H3)^2)*(-1*((4*((M3*H3)^3-((M3-1)*H3)^3))/(3*PI()*((M3*H3)^2-((M3-1)*H3)^2)))^2+1*((4*((M3*H3)^3-((M3-1)*H3)^3))/(3*PI()*((M3*H3)^2-((M3-1)*H3)^2))+H3*I3/2)^2)*2</f>
        <v>98937843.544753</v>
      </c>
      <c r="T3">
        <f t="shared" ref="T3:T6" si="10">SQRT(S3/R3)</f>
        <v>119.46474135158041</v>
      </c>
      <c r="U3">
        <f t="shared" ref="U3:U6" si="11">PI()*V3*SQRT(O3/N3)</f>
        <v>47.155778262963118</v>
      </c>
      <c r="V3">
        <v>0.6</v>
      </c>
      <c r="W3">
        <f t="shared" ref="W3:W6" si="12">R3*N3/1000</f>
        <v>2253.0265361880024</v>
      </c>
      <c r="X3">
        <v>1605.5</v>
      </c>
      <c r="Y3">
        <f t="shared" ref="Y3:Y21" si="13">X3/W3</f>
        <v>0.71259702192252827</v>
      </c>
      <c r="Z3" t="str">
        <f t="shared" ref="Z3:Z21" si="14">"MC-cn"&amp;A3</f>
        <v>MC-cn2</v>
      </c>
      <c r="AA3">
        <f t="shared" ref="AA3:AA21" si="15">IF(B3=235,360,IF(B3=355,490,560))</f>
        <v>490</v>
      </c>
      <c r="AB3">
        <f>C3/(0.2+185*C3/193000)</f>
        <v>517.02058150931066</v>
      </c>
      <c r="AC3">
        <f t="shared" ref="AC3:AC21" si="16">B3*(2.769*(AA3/B3)-0.581*(AA3/B3)^2-1.182)/((M3-1)^(0.314*(AA3/B3)-0.32))</f>
        <v>519.7880493042129</v>
      </c>
      <c r="AD3">
        <f t="shared" ref="AD3:AD21" si="17">1.673*C3/(M3-1)^0.126</f>
        <v>325.88344850615891</v>
      </c>
      <c r="AE3">
        <f t="shared" ref="AE3:AE21" si="18">AC3*(1-((2*M3*H3-D3*H3)/(2*M3*H3-H3)*D3))+AD3*((2*M3*H3-D3*H3)/(2*M3*H3-H3)*D3)</f>
        <v>473.25094511267991</v>
      </c>
      <c r="AF3">
        <f t="shared" ref="AF3:AF12" si="19">(AE3*Q3+N3*P3)/1000</f>
        <v>2320.0936837157406</v>
      </c>
      <c r="AG3">
        <f t="shared" ref="AG3:AG21" si="20">X3/AF3</f>
        <v>0.69199791856194159</v>
      </c>
    </row>
    <row r="4" spans="1:33" x14ac:dyDescent="0.25">
      <c r="A4">
        <v>3</v>
      </c>
      <c r="B4">
        <v>355</v>
      </c>
      <c r="C4">
        <v>205</v>
      </c>
      <c r="D4">
        <v>0.2</v>
      </c>
      <c r="E4">
        <f t="shared" si="1"/>
        <v>5849.086046350064</v>
      </c>
      <c r="F4">
        <v>270</v>
      </c>
      <c r="G4">
        <f t="shared" ref="G4:G6" si="21">F4+2*H4*M4</f>
        <v>312</v>
      </c>
      <c r="H4">
        <v>6</v>
      </c>
      <c r="I4">
        <f t="shared" si="2"/>
        <v>45</v>
      </c>
      <c r="J4">
        <f t="shared" si="3"/>
        <v>0.94604146249571819</v>
      </c>
      <c r="K4">
        <f t="shared" si="4"/>
        <v>1.35</v>
      </c>
      <c r="L4">
        <f t="shared" si="0"/>
        <v>5.849086046350064</v>
      </c>
      <c r="M4">
        <v>3.5</v>
      </c>
      <c r="N4">
        <f t="shared" ref="N4:N6" si="22">D4*C4+(1-D4)*B4</f>
        <v>325</v>
      </c>
      <c r="O4">
        <f t="shared" si="5"/>
        <v>203400</v>
      </c>
      <c r="P4">
        <f t="shared" si="6"/>
        <v>6480</v>
      </c>
      <c r="Q4">
        <f t="shared" si="7"/>
        <v>678.58401317539528</v>
      </c>
      <c r="R4">
        <f t="shared" si="8"/>
        <v>7158.5840131753957</v>
      </c>
      <c r="S4">
        <f t="shared" si="9"/>
        <v>110137017.87831528</v>
      </c>
      <c r="T4">
        <f t="shared" si="10"/>
        <v>124.03752544879589</v>
      </c>
      <c r="U4">
        <f t="shared" si="11"/>
        <v>47.155778262963118</v>
      </c>
      <c r="V4">
        <v>0.6</v>
      </c>
      <c r="W4">
        <f t="shared" si="12"/>
        <v>2326.5398042820034</v>
      </c>
      <c r="X4">
        <v>1638.1</v>
      </c>
      <c r="Y4">
        <f t="shared" si="13"/>
        <v>0.70409283219013574</v>
      </c>
      <c r="Z4" t="str">
        <f t="shared" si="14"/>
        <v>MC-cn3</v>
      </c>
      <c r="AA4">
        <f t="shared" si="15"/>
        <v>490</v>
      </c>
      <c r="AB4">
        <f>C4/(0.2+185*C4/193000)</f>
        <v>517.02058150931066</v>
      </c>
      <c r="AC4">
        <f t="shared" si="16"/>
        <v>490.5313485704678</v>
      </c>
      <c r="AD4">
        <f t="shared" si="17"/>
        <v>305.56904784310274</v>
      </c>
      <c r="AE4">
        <f t="shared" si="18"/>
        <v>448.60656040559837</v>
      </c>
      <c r="AF4">
        <f t="shared" si="19"/>
        <v>2410.4172400968414</v>
      </c>
      <c r="AG4">
        <f t="shared" si="20"/>
        <v>0.67959188672836879</v>
      </c>
    </row>
    <row r="5" spans="1:33" x14ac:dyDescent="0.25">
      <c r="A5">
        <v>4</v>
      </c>
      <c r="B5">
        <v>355</v>
      </c>
      <c r="C5">
        <v>205</v>
      </c>
      <c r="D5">
        <v>0.2</v>
      </c>
      <c r="E5">
        <f t="shared" si="1"/>
        <v>6063.7401169206778</v>
      </c>
      <c r="F5">
        <v>270</v>
      </c>
      <c r="G5">
        <f t="shared" si="21"/>
        <v>324</v>
      </c>
      <c r="H5">
        <v>6</v>
      </c>
      <c r="I5">
        <f t="shared" si="2"/>
        <v>45</v>
      </c>
      <c r="J5">
        <f t="shared" si="3"/>
        <v>0.94604146249571819</v>
      </c>
      <c r="K5">
        <f t="shared" si="4"/>
        <v>1.35</v>
      </c>
      <c r="L5">
        <f t="shared" si="0"/>
        <v>6.0637401169206777</v>
      </c>
      <c r="M5">
        <v>4.5</v>
      </c>
      <c r="N5">
        <f t="shared" si="22"/>
        <v>325</v>
      </c>
      <c r="O5">
        <f t="shared" si="5"/>
        <v>203400</v>
      </c>
      <c r="P5">
        <f t="shared" si="6"/>
        <v>6480</v>
      </c>
      <c r="Q5">
        <f t="shared" si="7"/>
        <v>904.7786842338603</v>
      </c>
      <c r="R5">
        <f t="shared" si="8"/>
        <v>7384.7786842338601</v>
      </c>
      <c r="S5">
        <f t="shared" si="9"/>
        <v>122109319.28530051</v>
      </c>
      <c r="T5">
        <f t="shared" si="10"/>
        <v>128.58954597475562</v>
      </c>
      <c r="U5">
        <f t="shared" si="11"/>
        <v>47.155778262963118</v>
      </c>
      <c r="V5">
        <v>0.6</v>
      </c>
      <c r="W5">
        <f t="shared" si="12"/>
        <v>2400.0530723760044</v>
      </c>
      <c r="X5">
        <v>1670.5</v>
      </c>
      <c r="Y5">
        <f t="shared" si="13"/>
        <v>0.69602627509659132</v>
      </c>
      <c r="Z5" t="str">
        <f t="shared" si="14"/>
        <v>MC-cn4</v>
      </c>
      <c r="AA5">
        <f t="shared" si="15"/>
        <v>490</v>
      </c>
      <c r="AB5">
        <f t="shared" ref="AB5:AB12" si="23">C5/(0.2+185*C5/193000)</f>
        <v>517.02058150931066</v>
      </c>
      <c r="AC5">
        <f t="shared" si="16"/>
        <v>472.16589361674886</v>
      </c>
      <c r="AD5">
        <f t="shared" si="17"/>
        <v>292.88506637012813</v>
      </c>
      <c r="AE5">
        <f t="shared" si="18"/>
        <v>432.72411162249233</v>
      </c>
      <c r="AF5">
        <f t="shared" si="19"/>
        <v>2497.5195523500647</v>
      </c>
      <c r="AG5">
        <f t="shared" si="20"/>
        <v>0.66886363249013492</v>
      </c>
    </row>
    <row r="6" spans="1:33" x14ac:dyDescent="0.25">
      <c r="A6">
        <v>5</v>
      </c>
      <c r="B6">
        <v>355</v>
      </c>
      <c r="C6">
        <v>205</v>
      </c>
      <c r="D6">
        <v>0.2</v>
      </c>
      <c r="E6">
        <f t="shared" si="1"/>
        <v>6277.507921733275</v>
      </c>
      <c r="F6">
        <v>270</v>
      </c>
      <c r="G6">
        <f t="shared" si="21"/>
        <v>336</v>
      </c>
      <c r="H6">
        <v>6</v>
      </c>
      <c r="I6">
        <f t="shared" si="2"/>
        <v>45</v>
      </c>
      <c r="J6">
        <f t="shared" si="3"/>
        <v>0.94604146249571819</v>
      </c>
      <c r="K6">
        <f t="shared" si="4"/>
        <v>1.35</v>
      </c>
      <c r="L6">
        <f t="shared" si="0"/>
        <v>6.2775079217332754</v>
      </c>
      <c r="M6">
        <v>5.5</v>
      </c>
      <c r="N6">
        <f t="shared" si="22"/>
        <v>325</v>
      </c>
      <c r="O6">
        <f t="shared" si="5"/>
        <v>203400</v>
      </c>
      <c r="P6">
        <f t="shared" si="6"/>
        <v>6480</v>
      </c>
      <c r="Q6">
        <f t="shared" si="7"/>
        <v>1130.9733552923258</v>
      </c>
      <c r="R6">
        <f t="shared" si="8"/>
        <v>7610.9733552923262</v>
      </c>
      <c r="S6">
        <f t="shared" si="9"/>
        <v>134879176.79018301</v>
      </c>
      <c r="T6">
        <f t="shared" si="10"/>
        <v>133.12277207528834</v>
      </c>
      <c r="U6">
        <f t="shared" si="11"/>
        <v>47.155778262963118</v>
      </c>
      <c r="V6">
        <v>0.6</v>
      </c>
      <c r="W6">
        <f t="shared" si="12"/>
        <v>2473.5663404700063</v>
      </c>
      <c r="X6">
        <v>1703.9</v>
      </c>
      <c r="Y6">
        <f t="shared" si="13"/>
        <v>0.68884346141136421</v>
      </c>
      <c r="Z6" t="str">
        <f t="shared" si="14"/>
        <v>MC-cn5</v>
      </c>
      <c r="AA6">
        <f t="shared" si="15"/>
        <v>490</v>
      </c>
      <c r="AB6">
        <f t="shared" si="23"/>
        <v>517.02058150931066</v>
      </c>
      <c r="AC6">
        <f t="shared" si="16"/>
        <v>458.89857374554873</v>
      </c>
      <c r="AD6">
        <f t="shared" si="17"/>
        <v>283.75598161340156</v>
      </c>
      <c r="AE6">
        <f t="shared" si="18"/>
        <v>421.06777384500498</v>
      </c>
      <c r="AF6">
        <f t="shared" si="19"/>
        <v>2582.2164329909556</v>
      </c>
      <c r="AG6">
        <f t="shared" si="20"/>
        <v>0.6598594828189478</v>
      </c>
    </row>
    <row r="7" spans="1:33" x14ac:dyDescent="0.25">
      <c r="A7">
        <v>6</v>
      </c>
      <c r="B7">
        <v>355</v>
      </c>
      <c r="C7">
        <v>205</v>
      </c>
      <c r="D7">
        <v>0.2</v>
      </c>
      <c r="E7">
        <f>U7*T7</f>
        <v>10833.467164989434</v>
      </c>
      <c r="F7">
        <v>270</v>
      </c>
      <c r="G7">
        <f>F7+2*H7*M7</f>
        <v>288</v>
      </c>
      <c r="H7">
        <v>6</v>
      </c>
      <c r="I7">
        <f>F7/H7</f>
        <v>45</v>
      </c>
      <c r="J7">
        <f>SQRT(12*(1-0.3^2)*I7^2*N7/(4*PI()^2*O7))</f>
        <v>0.94604146249571819</v>
      </c>
      <c r="K7">
        <f>H7*I7/200</f>
        <v>1.35</v>
      </c>
      <c r="L7">
        <f t="shared" ref="L7:L16" si="24">E7/1000</f>
        <v>10.833467164989434</v>
      </c>
      <c r="M7">
        <v>1.5</v>
      </c>
      <c r="N7">
        <f>D7*C7+(1-D7)*B7</f>
        <v>325</v>
      </c>
      <c r="O7">
        <f>193000*D7+(1-D7)*206000</f>
        <v>203400</v>
      </c>
      <c r="P7">
        <f>H7*I7*H7*4</f>
        <v>6480</v>
      </c>
      <c r="Q7">
        <f>PI()*(M7*H7)^2-PI()*((M7-1)*H7)^2</f>
        <v>226.1946710584651</v>
      </c>
      <c r="R7">
        <f>P7+Q7</f>
        <v>6706.1946710584652</v>
      </c>
      <c r="S7">
        <f t="shared" si="9"/>
        <v>88487367.260139346</v>
      </c>
      <c r="T7">
        <f>SQRT(S7/R7)</f>
        <v>114.86892554902659</v>
      </c>
      <c r="U7">
        <f>PI()*V7*SQRT(O7/N7)</f>
        <v>94.311556525926235</v>
      </c>
      <c r="V7">
        <v>1.2</v>
      </c>
      <c r="W7">
        <f>R7*N7/1000</f>
        <v>2179.5132680940014</v>
      </c>
      <c r="X7">
        <v>1111</v>
      </c>
      <c r="Y7">
        <f t="shared" si="13"/>
        <v>0.50974683947282262</v>
      </c>
      <c r="Z7" t="str">
        <f t="shared" si="14"/>
        <v>MC-cn6</v>
      </c>
      <c r="AA7">
        <f t="shared" si="15"/>
        <v>490</v>
      </c>
      <c r="AB7">
        <f t="shared" si="23"/>
        <v>517.02058150931066</v>
      </c>
      <c r="AC7">
        <f t="shared" si="16"/>
        <v>588.75671369876318</v>
      </c>
      <c r="AD7">
        <f t="shared" si="17"/>
        <v>374.26531559414582</v>
      </c>
      <c r="AE7">
        <f>AC7*(1-((2*M7*H7-D7*H7)/(2*M7*H7-H7)*D7))+AD7*((2*M7*H7-D7*H7)/(2*M7*H7-H7)*D7)</f>
        <v>528.69912222947028</v>
      </c>
      <c r="AF7">
        <f t="shared" si="19"/>
        <v>2225.5889240415945</v>
      </c>
      <c r="AG7">
        <f t="shared" si="20"/>
        <v>0.49919371362725035</v>
      </c>
    </row>
    <row r="8" spans="1:33" x14ac:dyDescent="0.25">
      <c r="A8">
        <v>7</v>
      </c>
      <c r="B8">
        <v>355</v>
      </c>
      <c r="C8">
        <v>205</v>
      </c>
      <c r="D8">
        <v>0.2</v>
      </c>
      <c r="E8">
        <f t="shared" ref="E8:E11" si="25">U8*T8</f>
        <v>11266.905706834734</v>
      </c>
      <c r="F8">
        <v>270</v>
      </c>
      <c r="G8">
        <f>F8+2*H8*M8</f>
        <v>300</v>
      </c>
      <c r="H8">
        <v>6</v>
      </c>
      <c r="I8">
        <f t="shared" ref="I8:I11" si="26">F8/H8</f>
        <v>45</v>
      </c>
      <c r="J8">
        <f t="shared" ref="J8:J11" si="27">SQRT(12*(1-0.3^2)*I8^2*N8/(4*PI()^2*O8))</f>
        <v>0.94604146249571819</v>
      </c>
      <c r="K8">
        <f t="shared" ref="K8:K11" si="28">H8*I8/200</f>
        <v>1.35</v>
      </c>
      <c r="L8">
        <f t="shared" si="24"/>
        <v>11.266905706834734</v>
      </c>
      <c r="M8">
        <v>2.5</v>
      </c>
      <c r="N8">
        <f>D8*C8+(1-D8)*B8</f>
        <v>325</v>
      </c>
      <c r="O8">
        <f t="shared" ref="O8:O11" si="29">193000*D8+(1-D8)*206000</f>
        <v>203400</v>
      </c>
      <c r="P8">
        <f t="shared" ref="P8:P11" si="30">H8*I8*H8*4</f>
        <v>6480</v>
      </c>
      <c r="Q8">
        <f t="shared" ref="Q8:Q11" si="31">PI()*(M8*H8)^2-PI()*((M8-1)*H8)^2</f>
        <v>452.38934211693021</v>
      </c>
      <c r="R8">
        <f t="shared" ref="R8:R11" si="32">P8+Q8</f>
        <v>6932.3893421169305</v>
      </c>
      <c r="S8">
        <f t="shared" si="9"/>
        <v>98937843.544753</v>
      </c>
      <c r="T8">
        <f t="shared" ref="T8:T11" si="33">SQRT(S8/R8)</f>
        <v>119.46474135158041</v>
      </c>
      <c r="U8">
        <f t="shared" ref="U8:U11" si="34">PI()*V8*SQRT(O8/N8)</f>
        <v>94.311556525926235</v>
      </c>
      <c r="V8">
        <v>1.2</v>
      </c>
      <c r="W8">
        <f t="shared" ref="W8:W11" si="35">R8*N8/1000</f>
        <v>2253.0265361880024</v>
      </c>
      <c r="X8">
        <v>1141</v>
      </c>
      <c r="Y8">
        <f t="shared" si="13"/>
        <v>0.50642989848246955</v>
      </c>
      <c r="Z8" t="str">
        <f t="shared" si="14"/>
        <v>MC-cn7</v>
      </c>
      <c r="AA8">
        <f t="shared" si="15"/>
        <v>490</v>
      </c>
      <c r="AB8">
        <f t="shared" si="23"/>
        <v>517.02058150931066</v>
      </c>
      <c r="AC8">
        <f t="shared" si="16"/>
        <v>519.7880493042129</v>
      </c>
      <c r="AD8">
        <f t="shared" si="17"/>
        <v>325.88344850615891</v>
      </c>
      <c r="AE8">
        <f>AC8*(1-((2*M8*H8-D8*H8)/(2*M8*H8-H8)*D8))+AD8*((2*M8*H8-D8*H8)/(2*M8*H8-H8)*D8)</f>
        <v>473.25094511267991</v>
      </c>
      <c r="AF8">
        <f t="shared" si="19"/>
        <v>2320.0936837157406</v>
      </c>
      <c r="AG8">
        <f t="shared" si="20"/>
        <v>0.49179048587927454</v>
      </c>
    </row>
    <row r="9" spans="1:33" x14ac:dyDescent="0.25">
      <c r="A9">
        <v>8</v>
      </c>
      <c r="B9">
        <v>355</v>
      </c>
      <c r="C9">
        <v>205</v>
      </c>
      <c r="D9">
        <v>0.2</v>
      </c>
      <c r="E9">
        <f t="shared" si="25"/>
        <v>11698.172092700128</v>
      </c>
      <c r="F9">
        <v>270</v>
      </c>
      <c r="G9">
        <f t="shared" ref="G9:G11" si="36">F9+2*H9*M9</f>
        <v>312</v>
      </c>
      <c r="H9">
        <v>6</v>
      </c>
      <c r="I9">
        <f t="shared" si="26"/>
        <v>45</v>
      </c>
      <c r="J9">
        <f t="shared" si="27"/>
        <v>0.94604146249571819</v>
      </c>
      <c r="K9">
        <f t="shared" si="28"/>
        <v>1.35</v>
      </c>
      <c r="L9">
        <f t="shared" si="24"/>
        <v>11.698172092700128</v>
      </c>
      <c r="M9">
        <v>3.5</v>
      </c>
      <c r="N9">
        <f t="shared" ref="N9:N11" si="37">D9*C9+(1-D9)*B9</f>
        <v>325</v>
      </c>
      <c r="O9">
        <f t="shared" si="29"/>
        <v>203400</v>
      </c>
      <c r="P9">
        <f t="shared" si="30"/>
        <v>6480</v>
      </c>
      <c r="Q9">
        <f t="shared" si="31"/>
        <v>678.58401317539528</v>
      </c>
      <c r="R9">
        <f t="shared" si="32"/>
        <v>7158.5840131753957</v>
      </c>
      <c r="S9">
        <f t="shared" si="9"/>
        <v>110137017.87831528</v>
      </c>
      <c r="T9">
        <f t="shared" si="33"/>
        <v>124.03752544879589</v>
      </c>
      <c r="U9">
        <f t="shared" si="34"/>
        <v>94.311556525926235</v>
      </c>
      <c r="V9">
        <v>1.2</v>
      </c>
      <c r="W9">
        <f t="shared" si="35"/>
        <v>2326.5398042820034</v>
      </c>
      <c r="X9">
        <v>1174.3</v>
      </c>
      <c r="Y9">
        <f t="shared" si="13"/>
        <v>0.50474098824301106</v>
      </c>
      <c r="Z9" t="str">
        <f t="shared" si="14"/>
        <v>MC-cn8</v>
      </c>
      <c r="AA9">
        <f t="shared" si="15"/>
        <v>490</v>
      </c>
      <c r="AB9">
        <f t="shared" si="23"/>
        <v>517.02058150931066</v>
      </c>
      <c r="AC9">
        <f t="shared" si="16"/>
        <v>490.5313485704678</v>
      </c>
      <c r="AD9">
        <f t="shared" si="17"/>
        <v>305.56904784310274</v>
      </c>
      <c r="AE9">
        <f t="shared" si="18"/>
        <v>448.60656040559837</v>
      </c>
      <c r="AF9">
        <f t="shared" si="19"/>
        <v>2410.4172400968414</v>
      </c>
      <c r="AG9">
        <f t="shared" si="20"/>
        <v>0.48717706647037634</v>
      </c>
    </row>
    <row r="10" spans="1:33" x14ac:dyDescent="0.25">
      <c r="A10">
        <v>9</v>
      </c>
      <c r="B10">
        <v>355</v>
      </c>
      <c r="C10">
        <v>205</v>
      </c>
      <c r="D10">
        <v>0.2</v>
      </c>
      <c r="E10">
        <f t="shared" si="25"/>
        <v>12127.480233841356</v>
      </c>
      <c r="F10">
        <v>270</v>
      </c>
      <c r="G10">
        <f t="shared" si="36"/>
        <v>324</v>
      </c>
      <c r="H10">
        <v>6</v>
      </c>
      <c r="I10">
        <f t="shared" si="26"/>
        <v>45</v>
      </c>
      <c r="J10">
        <f t="shared" si="27"/>
        <v>0.94604146249571819</v>
      </c>
      <c r="K10">
        <f t="shared" si="28"/>
        <v>1.35</v>
      </c>
      <c r="L10">
        <f t="shared" si="24"/>
        <v>12.127480233841355</v>
      </c>
      <c r="M10">
        <v>4.5</v>
      </c>
      <c r="N10">
        <f t="shared" si="37"/>
        <v>325</v>
      </c>
      <c r="O10">
        <f t="shared" si="29"/>
        <v>203400</v>
      </c>
      <c r="P10">
        <f t="shared" si="30"/>
        <v>6480</v>
      </c>
      <c r="Q10">
        <f t="shared" si="31"/>
        <v>904.7786842338603</v>
      </c>
      <c r="R10">
        <f t="shared" si="32"/>
        <v>7384.7786842338601</v>
      </c>
      <c r="S10">
        <f t="shared" si="9"/>
        <v>122109319.28530051</v>
      </c>
      <c r="T10">
        <f t="shared" si="33"/>
        <v>128.58954597475562</v>
      </c>
      <c r="U10">
        <f t="shared" si="34"/>
        <v>94.311556525926235</v>
      </c>
      <c r="V10">
        <v>1.2</v>
      </c>
      <c r="W10">
        <f t="shared" si="35"/>
        <v>2400.0530723760044</v>
      </c>
      <c r="X10">
        <v>1207.8</v>
      </c>
      <c r="Y10">
        <f t="shared" si="13"/>
        <v>0.50323887163224357</v>
      </c>
      <c r="Z10" t="str">
        <f t="shared" si="14"/>
        <v>MC-cn9</v>
      </c>
      <c r="AA10">
        <f t="shared" si="15"/>
        <v>490</v>
      </c>
      <c r="AB10">
        <f t="shared" si="23"/>
        <v>517.02058150931066</v>
      </c>
      <c r="AC10">
        <f t="shared" si="16"/>
        <v>472.16589361674886</v>
      </c>
      <c r="AD10">
        <f t="shared" si="17"/>
        <v>292.88506637012813</v>
      </c>
      <c r="AE10">
        <f t="shared" si="18"/>
        <v>432.72411162249233</v>
      </c>
      <c r="AF10">
        <f t="shared" si="19"/>
        <v>2497.5195523500647</v>
      </c>
      <c r="AG10">
        <f t="shared" si="20"/>
        <v>0.48359981761244236</v>
      </c>
    </row>
    <row r="11" spans="1:33" x14ac:dyDescent="0.25">
      <c r="A11">
        <v>10</v>
      </c>
      <c r="B11">
        <v>355</v>
      </c>
      <c r="C11">
        <v>205</v>
      </c>
      <c r="D11">
        <v>0.2</v>
      </c>
      <c r="E11">
        <f t="shared" si="25"/>
        <v>12555.01584346655</v>
      </c>
      <c r="F11">
        <v>270</v>
      </c>
      <c r="G11">
        <f t="shared" si="36"/>
        <v>336</v>
      </c>
      <c r="H11">
        <v>6</v>
      </c>
      <c r="I11">
        <f t="shared" si="26"/>
        <v>45</v>
      </c>
      <c r="J11">
        <f t="shared" si="27"/>
        <v>0.94604146249571819</v>
      </c>
      <c r="K11">
        <f t="shared" si="28"/>
        <v>1.35</v>
      </c>
      <c r="L11">
        <f t="shared" si="24"/>
        <v>12.555015843466551</v>
      </c>
      <c r="M11">
        <v>5.5</v>
      </c>
      <c r="N11">
        <f t="shared" si="37"/>
        <v>325</v>
      </c>
      <c r="O11">
        <f t="shared" si="29"/>
        <v>203400</v>
      </c>
      <c r="P11">
        <f t="shared" si="30"/>
        <v>6480</v>
      </c>
      <c r="Q11">
        <f t="shared" si="31"/>
        <v>1130.9733552923258</v>
      </c>
      <c r="R11">
        <f t="shared" si="32"/>
        <v>7610.9733552923262</v>
      </c>
      <c r="S11">
        <f t="shared" si="9"/>
        <v>134879176.79018301</v>
      </c>
      <c r="T11">
        <f t="shared" si="33"/>
        <v>133.12277207528834</v>
      </c>
      <c r="U11">
        <f t="shared" si="34"/>
        <v>94.311556525926235</v>
      </c>
      <c r="V11">
        <v>1.2</v>
      </c>
      <c r="W11">
        <f t="shared" si="35"/>
        <v>2473.5663404700063</v>
      </c>
      <c r="X11">
        <v>1242.7</v>
      </c>
      <c r="Y11">
        <f t="shared" si="13"/>
        <v>0.50239202388397342</v>
      </c>
      <c r="Z11" t="str">
        <f t="shared" si="14"/>
        <v>MC-cn10</v>
      </c>
      <c r="AA11">
        <f t="shared" si="15"/>
        <v>490</v>
      </c>
      <c r="AB11">
        <f t="shared" si="23"/>
        <v>517.02058150931066</v>
      </c>
      <c r="AC11">
        <f t="shared" si="16"/>
        <v>458.89857374554873</v>
      </c>
      <c r="AD11">
        <f t="shared" si="17"/>
        <v>283.75598161340156</v>
      </c>
      <c r="AE11">
        <f t="shared" si="18"/>
        <v>421.06777384500498</v>
      </c>
      <c r="AF11">
        <f t="shared" si="19"/>
        <v>2582.2164329909556</v>
      </c>
      <c r="AG11">
        <f t="shared" si="20"/>
        <v>0.48125323041205847</v>
      </c>
    </row>
    <row r="12" spans="1:33" x14ac:dyDescent="0.25">
      <c r="A12">
        <v>11</v>
      </c>
      <c r="B12">
        <v>355</v>
      </c>
      <c r="C12">
        <v>205</v>
      </c>
      <c r="D12">
        <v>0.2</v>
      </c>
      <c r="E12">
        <f>U12*T12</f>
        <v>16250.20074748415</v>
      </c>
      <c r="F12">
        <v>270</v>
      </c>
      <c r="G12">
        <f>F12+2*H12*M12</f>
        <v>288</v>
      </c>
      <c r="H12">
        <v>6</v>
      </c>
      <c r="I12">
        <f>F12/H12</f>
        <v>45</v>
      </c>
      <c r="J12">
        <f>SQRT(12*(1-0.3^2)*I12^2*N12/(4*PI()^2*O12))</f>
        <v>0.94604146249571819</v>
      </c>
      <c r="K12">
        <f>H12*I12/200</f>
        <v>1.35</v>
      </c>
      <c r="L12">
        <f t="shared" si="24"/>
        <v>16.250200747484151</v>
      </c>
      <c r="M12">
        <v>1.5</v>
      </c>
      <c r="N12">
        <f>D12*C12+(1-D12)*B12</f>
        <v>325</v>
      </c>
      <c r="O12">
        <f>193000*D12+(1-D12)*206000</f>
        <v>203400</v>
      </c>
      <c r="P12">
        <f>H12*I12*H12*4</f>
        <v>6480</v>
      </c>
      <c r="Q12">
        <f>PI()*(M12*H12)^2-PI()*((M12-1)*H12)^2</f>
        <v>226.1946710584651</v>
      </c>
      <c r="R12">
        <f>P12+Q12</f>
        <v>6706.1946710584652</v>
      </c>
      <c r="S12">
        <f t="shared" si="9"/>
        <v>88487367.260139346</v>
      </c>
      <c r="T12">
        <f>SQRT(S12/R12)</f>
        <v>114.86892554902659</v>
      </c>
      <c r="U12">
        <f>PI()*V12*SQRT(O12/N12)</f>
        <v>141.46733478888936</v>
      </c>
      <c r="V12">
        <v>1.8</v>
      </c>
      <c r="W12">
        <f>R12*N12/1000</f>
        <v>2179.5132680940014</v>
      </c>
      <c r="X12">
        <v>607.4</v>
      </c>
      <c r="Y12">
        <f t="shared" si="13"/>
        <v>0.27868607587380062</v>
      </c>
      <c r="Z12" t="str">
        <f t="shared" si="14"/>
        <v>MC-cn11</v>
      </c>
      <c r="AA12">
        <f t="shared" si="15"/>
        <v>490</v>
      </c>
      <c r="AB12">
        <f t="shared" si="23"/>
        <v>517.02058150931066</v>
      </c>
      <c r="AC12">
        <f t="shared" si="16"/>
        <v>588.75671369876318</v>
      </c>
      <c r="AD12">
        <f t="shared" si="17"/>
        <v>374.26531559414582</v>
      </c>
      <c r="AE12">
        <f t="shared" si="18"/>
        <v>528.69912222947028</v>
      </c>
      <c r="AF12">
        <f t="shared" si="19"/>
        <v>2225.5889240415945</v>
      </c>
      <c r="AG12">
        <f t="shared" si="20"/>
        <v>0.27291652714418707</v>
      </c>
    </row>
    <row r="13" spans="1:33" x14ac:dyDescent="0.25">
      <c r="A13">
        <v>12</v>
      </c>
      <c r="B13">
        <v>355</v>
      </c>
      <c r="C13">
        <v>205</v>
      </c>
      <c r="D13">
        <v>0.2</v>
      </c>
      <c r="E13">
        <f t="shared" ref="E13:E16" si="38">U13*T13</f>
        <v>16900.358560252102</v>
      </c>
      <c r="F13">
        <v>270</v>
      </c>
      <c r="G13">
        <f>F13+2*H13*M13</f>
        <v>300</v>
      </c>
      <c r="H13">
        <v>6</v>
      </c>
      <c r="I13">
        <f t="shared" ref="I13:I16" si="39">F13/H13</f>
        <v>45</v>
      </c>
      <c r="J13">
        <f t="shared" ref="J13:J16" si="40">SQRT(12*(1-0.3^2)*I13^2*N13/(4*PI()^2*O13))</f>
        <v>0.94604146249571819</v>
      </c>
      <c r="K13">
        <f t="shared" ref="K13:K16" si="41">H13*I13/200</f>
        <v>1.35</v>
      </c>
      <c r="L13">
        <f t="shared" si="24"/>
        <v>16.900358560252101</v>
      </c>
      <c r="M13">
        <v>2.5</v>
      </c>
      <c r="N13">
        <f>D13*C13+(1-D13)*B13</f>
        <v>325</v>
      </c>
      <c r="O13">
        <f t="shared" ref="O13:O16" si="42">193000*D13+(1-D13)*206000</f>
        <v>203400</v>
      </c>
      <c r="P13">
        <f t="shared" ref="P13:P16" si="43">H13*I13*H13*4</f>
        <v>6480</v>
      </c>
      <c r="Q13">
        <f t="shared" ref="Q13:Q16" si="44">PI()*(M13*H13)^2-PI()*((M13-1)*H13)^2</f>
        <v>452.38934211693021</v>
      </c>
      <c r="R13">
        <f t="shared" ref="R13:R16" si="45">P13+Q13</f>
        <v>6932.3893421169305</v>
      </c>
      <c r="S13">
        <f t="shared" si="9"/>
        <v>98937843.544753</v>
      </c>
      <c r="T13">
        <f t="shared" ref="T13:T16" si="46">SQRT(S13/R13)</f>
        <v>119.46474135158041</v>
      </c>
      <c r="U13">
        <f t="shared" ref="U13:U16" si="47">PI()*V13*SQRT(O13/N13)</f>
        <v>141.46733478888936</v>
      </c>
      <c r="V13">
        <v>1.8</v>
      </c>
      <c r="W13">
        <f t="shared" ref="W13:W16" si="48">R13*N13/1000</f>
        <v>2253.0265361880024</v>
      </c>
      <c r="X13">
        <v>627.4</v>
      </c>
      <c r="Y13">
        <f t="shared" si="13"/>
        <v>0.27846986705337545</v>
      </c>
      <c r="Z13" t="str">
        <f t="shared" si="14"/>
        <v>MC-cn12</v>
      </c>
      <c r="AA13">
        <f t="shared" si="15"/>
        <v>490</v>
      </c>
      <c r="AB13">
        <f>C13/(0.2+185*C13/193000)</f>
        <v>517.02058150931066</v>
      </c>
      <c r="AC13">
        <f t="shared" si="16"/>
        <v>519.7880493042129</v>
      </c>
      <c r="AD13">
        <f t="shared" si="17"/>
        <v>325.88344850615891</v>
      </c>
      <c r="AE13">
        <f t="shared" si="18"/>
        <v>473.25094511267991</v>
      </c>
      <c r="AF13">
        <f>(AE13*Q13+N13*P13)/1000</f>
        <v>2320.0936837157406</v>
      </c>
      <c r="AG13">
        <f t="shared" si="20"/>
        <v>0.27042011467191662</v>
      </c>
    </row>
    <row r="14" spans="1:33" x14ac:dyDescent="0.25">
      <c r="A14">
        <v>13</v>
      </c>
      <c r="B14">
        <v>355</v>
      </c>
      <c r="C14">
        <v>205</v>
      </c>
      <c r="D14">
        <v>0.2</v>
      </c>
      <c r="E14">
        <f t="shared" si="38"/>
        <v>17547.258139050191</v>
      </c>
      <c r="F14">
        <v>270</v>
      </c>
      <c r="G14">
        <f t="shared" ref="G14:G16" si="49">F14+2*H14*M14</f>
        <v>312</v>
      </c>
      <c r="H14">
        <v>6</v>
      </c>
      <c r="I14">
        <f t="shared" si="39"/>
        <v>45</v>
      </c>
      <c r="J14">
        <f t="shared" si="40"/>
        <v>0.94604146249571819</v>
      </c>
      <c r="K14">
        <f t="shared" si="41"/>
        <v>1.35</v>
      </c>
      <c r="L14">
        <f t="shared" si="24"/>
        <v>17.547258139050189</v>
      </c>
      <c r="M14">
        <v>3.5</v>
      </c>
      <c r="N14">
        <f t="shared" ref="N14:N16" si="50">D14*C14+(1-D14)*B14</f>
        <v>325</v>
      </c>
      <c r="O14">
        <f t="shared" si="42"/>
        <v>203400</v>
      </c>
      <c r="P14">
        <f t="shared" si="43"/>
        <v>6480</v>
      </c>
      <c r="Q14">
        <f t="shared" si="44"/>
        <v>678.58401317539528</v>
      </c>
      <c r="R14">
        <f t="shared" si="45"/>
        <v>7158.5840131753957</v>
      </c>
      <c r="S14">
        <f t="shared" si="9"/>
        <v>110137017.87831528</v>
      </c>
      <c r="T14">
        <f t="shared" si="46"/>
        <v>124.03752544879589</v>
      </c>
      <c r="U14">
        <f t="shared" si="47"/>
        <v>141.46733478888936</v>
      </c>
      <c r="V14">
        <v>1.8</v>
      </c>
      <c r="W14">
        <f t="shared" si="48"/>
        <v>2326.5398042820034</v>
      </c>
      <c r="X14">
        <v>645.4</v>
      </c>
      <c r="Y14">
        <f t="shared" si="13"/>
        <v>0.27740767590227317</v>
      </c>
      <c r="Z14" t="str">
        <f t="shared" si="14"/>
        <v>MC-cn13</v>
      </c>
      <c r="AA14">
        <f t="shared" si="15"/>
        <v>490</v>
      </c>
      <c r="AB14">
        <f>C14/(0.2+185*C14/193000)</f>
        <v>517.02058150931066</v>
      </c>
      <c r="AC14">
        <f t="shared" si="16"/>
        <v>490.5313485704678</v>
      </c>
      <c r="AD14">
        <f t="shared" si="17"/>
        <v>305.56904784310274</v>
      </c>
      <c r="AE14">
        <f t="shared" si="18"/>
        <v>448.60656040559837</v>
      </c>
      <c r="AF14">
        <f t="shared" ref="AF14:AF21" si="51">(AE14*Q14+N14*P14)/1000</f>
        <v>2410.4172400968414</v>
      </c>
      <c r="AG14">
        <f t="shared" si="20"/>
        <v>0.26775447389932799</v>
      </c>
    </row>
    <row r="15" spans="1:33" x14ac:dyDescent="0.25">
      <c r="A15">
        <v>14</v>
      </c>
      <c r="B15">
        <v>355</v>
      </c>
      <c r="C15">
        <v>205</v>
      </c>
      <c r="D15">
        <v>0.2</v>
      </c>
      <c r="E15">
        <f t="shared" si="38"/>
        <v>18191.220350762032</v>
      </c>
      <c r="F15">
        <v>270</v>
      </c>
      <c r="G15">
        <f t="shared" si="49"/>
        <v>324</v>
      </c>
      <c r="H15">
        <v>6</v>
      </c>
      <c r="I15">
        <f t="shared" si="39"/>
        <v>45</v>
      </c>
      <c r="J15">
        <f t="shared" si="40"/>
        <v>0.94604146249571819</v>
      </c>
      <c r="K15">
        <f t="shared" si="41"/>
        <v>1.35</v>
      </c>
      <c r="L15">
        <f t="shared" si="24"/>
        <v>18.191220350762034</v>
      </c>
      <c r="M15">
        <v>4.5</v>
      </c>
      <c r="N15">
        <f t="shared" si="50"/>
        <v>325</v>
      </c>
      <c r="O15">
        <f t="shared" si="42"/>
        <v>203400</v>
      </c>
      <c r="P15">
        <f t="shared" si="43"/>
        <v>6480</v>
      </c>
      <c r="Q15">
        <f t="shared" si="44"/>
        <v>904.7786842338603</v>
      </c>
      <c r="R15">
        <f t="shared" si="45"/>
        <v>7384.7786842338601</v>
      </c>
      <c r="S15">
        <f t="shared" si="9"/>
        <v>122109319.28530051</v>
      </c>
      <c r="T15">
        <f t="shared" si="46"/>
        <v>128.58954597475562</v>
      </c>
      <c r="U15">
        <f t="shared" si="47"/>
        <v>141.46733478888936</v>
      </c>
      <c r="V15">
        <v>1.8</v>
      </c>
      <c r="W15">
        <f t="shared" si="48"/>
        <v>2400.0530723760044</v>
      </c>
      <c r="X15">
        <v>662.5</v>
      </c>
      <c r="Y15">
        <f t="shared" si="13"/>
        <v>0.27603556255701389</v>
      </c>
      <c r="Z15" t="str">
        <f t="shared" si="14"/>
        <v>MC-cn14</v>
      </c>
      <c r="AA15">
        <f t="shared" si="15"/>
        <v>490</v>
      </c>
      <c r="AB15">
        <f>C15/(0.2+185*C15/193000)</f>
        <v>517.02058150931066</v>
      </c>
      <c r="AC15">
        <f t="shared" si="16"/>
        <v>472.16589361674886</v>
      </c>
      <c r="AD15">
        <f t="shared" si="17"/>
        <v>292.88506637012813</v>
      </c>
      <c r="AE15">
        <f t="shared" si="18"/>
        <v>432.72411162249233</v>
      </c>
      <c r="AF15">
        <f t="shared" si="51"/>
        <v>2497.5195523500647</v>
      </c>
      <c r="AG15">
        <f t="shared" si="20"/>
        <v>0.2652631885810921</v>
      </c>
    </row>
    <row r="16" spans="1:33" x14ac:dyDescent="0.25">
      <c r="A16">
        <v>15</v>
      </c>
      <c r="B16">
        <v>355</v>
      </c>
      <c r="C16">
        <v>205</v>
      </c>
      <c r="D16">
        <v>0.2</v>
      </c>
      <c r="E16">
        <f t="shared" si="38"/>
        <v>18832.523765199829</v>
      </c>
      <c r="F16">
        <v>270</v>
      </c>
      <c r="G16">
        <f t="shared" si="49"/>
        <v>336</v>
      </c>
      <c r="H16">
        <v>6</v>
      </c>
      <c r="I16">
        <f t="shared" si="39"/>
        <v>45</v>
      </c>
      <c r="J16">
        <f t="shared" si="40"/>
        <v>0.94604146249571819</v>
      </c>
      <c r="K16">
        <f t="shared" si="41"/>
        <v>1.35</v>
      </c>
      <c r="L16">
        <f t="shared" si="24"/>
        <v>18.832523765199827</v>
      </c>
      <c r="M16">
        <v>5.5</v>
      </c>
      <c r="N16">
        <f t="shared" si="50"/>
        <v>325</v>
      </c>
      <c r="O16">
        <f t="shared" si="42"/>
        <v>203400</v>
      </c>
      <c r="P16">
        <f t="shared" si="43"/>
        <v>6480</v>
      </c>
      <c r="Q16">
        <f t="shared" si="44"/>
        <v>1130.9733552923258</v>
      </c>
      <c r="R16">
        <f t="shared" si="45"/>
        <v>7610.9733552923262</v>
      </c>
      <c r="S16">
        <f t="shared" si="9"/>
        <v>134879176.79018301</v>
      </c>
      <c r="T16">
        <f t="shared" si="46"/>
        <v>133.12277207528834</v>
      </c>
      <c r="U16">
        <f t="shared" si="47"/>
        <v>141.46733478888936</v>
      </c>
      <c r="V16">
        <v>1.8</v>
      </c>
      <c r="W16">
        <f t="shared" si="48"/>
        <v>2473.5663404700063</v>
      </c>
      <c r="X16">
        <v>678.7</v>
      </c>
      <c r="Y16">
        <f t="shared" si="13"/>
        <v>0.27438115925810957</v>
      </c>
      <c r="Z16" t="str">
        <f t="shared" si="14"/>
        <v>MC-cn15</v>
      </c>
      <c r="AA16">
        <f t="shared" si="15"/>
        <v>490</v>
      </c>
      <c r="AB16">
        <f t="shared" ref="AB16:AB21" si="52">C16/(0.2+185*C16/193000)</f>
        <v>517.02058150931066</v>
      </c>
      <c r="AC16">
        <f t="shared" si="16"/>
        <v>458.89857374554873</v>
      </c>
      <c r="AD16">
        <f t="shared" si="17"/>
        <v>283.75598161340156</v>
      </c>
      <c r="AE16">
        <f t="shared" si="18"/>
        <v>421.06777384500498</v>
      </c>
      <c r="AF16">
        <f t="shared" si="51"/>
        <v>2582.2164329909556</v>
      </c>
      <c r="AG16">
        <f t="shared" si="20"/>
        <v>0.26283621749470032</v>
      </c>
    </row>
    <row r="17" spans="1:33" x14ac:dyDescent="0.25">
      <c r="A17">
        <v>16</v>
      </c>
      <c r="B17">
        <v>355</v>
      </c>
      <c r="C17">
        <v>205</v>
      </c>
      <c r="D17">
        <v>0.2</v>
      </c>
      <c r="E17">
        <f>U17*T17</f>
        <v>21666.934329978867</v>
      </c>
      <c r="F17">
        <v>270</v>
      </c>
      <c r="G17">
        <f>F17+2*H17*M17</f>
        <v>288</v>
      </c>
      <c r="H17">
        <v>6</v>
      </c>
      <c r="I17">
        <f>F17/H17</f>
        <v>45</v>
      </c>
      <c r="J17">
        <f>SQRT(12*(1-0.3^2)*I17^2*N17/(4*PI()^2*O17))</f>
        <v>0.94604146249571819</v>
      </c>
      <c r="K17">
        <f>H17*I17/200</f>
        <v>1.35</v>
      </c>
      <c r="L17">
        <f t="shared" ref="L17:L21" si="53">E17/1000</f>
        <v>21.666934329978869</v>
      </c>
      <c r="M17">
        <v>1.5</v>
      </c>
      <c r="N17">
        <f>D17*C17+(1-D17)*B17</f>
        <v>325</v>
      </c>
      <c r="O17">
        <f>193000*D17+(1-D17)*206000</f>
        <v>203400</v>
      </c>
      <c r="P17">
        <f>H17*I17*H17*4</f>
        <v>6480</v>
      </c>
      <c r="Q17">
        <f>PI()*(M17*H17)^2-PI()*((M17-1)*H17)^2</f>
        <v>226.1946710584651</v>
      </c>
      <c r="R17">
        <f>P17+Q17</f>
        <v>6706.1946710584652</v>
      </c>
      <c r="S17">
        <f t="shared" si="9"/>
        <v>88487367.260139346</v>
      </c>
      <c r="T17">
        <f>SQRT(S17/R17)</f>
        <v>114.86892554902659</v>
      </c>
      <c r="U17">
        <f>PI()*V17*SQRT(O17/N17)</f>
        <v>188.62311305185247</v>
      </c>
      <c r="V17">
        <v>2.4</v>
      </c>
      <c r="W17">
        <f>R17*N17/1000</f>
        <v>2179.5132680940014</v>
      </c>
      <c r="X17">
        <v>343.1</v>
      </c>
      <c r="Y17">
        <f t="shared" si="13"/>
        <v>0.15742046860767367</v>
      </c>
      <c r="Z17" t="str">
        <f t="shared" si="14"/>
        <v>MC-cn16</v>
      </c>
      <c r="AA17">
        <f t="shared" si="15"/>
        <v>490</v>
      </c>
      <c r="AB17">
        <f t="shared" si="52"/>
        <v>517.02058150931066</v>
      </c>
      <c r="AC17">
        <f t="shared" si="16"/>
        <v>588.75671369876318</v>
      </c>
      <c r="AD17">
        <f t="shared" si="17"/>
        <v>374.26531559414582</v>
      </c>
      <c r="AE17">
        <f t="shared" si="18"/>
        <v>528.69912222947028</v>
      </c>
      <c r="AF17">
        <f t="shared" si="51"/>
        <v>2225.5889240415945</v>
      </c>
      <c r="AG17">
        <f t="shared" si="20"/>
        <v>0.15416144297525616</v>
      </c>
    </row>
    <row r="18" spans="1:33" x14ac:dyDescent="0.25">
      <c r="A18">
        <v>17</v>
      </c>
      <c r="B18">
        <v>355</v>
      </c>
      <c r="C18">
        <v>205</v>
      </c>
      <c r="D18">
        <v>0.2</v>
      </c>
      <c r="E18">
        <f t="shared" ref="E18:E21" si="54">U18*T18</f>
        <v>22533.811413669468</v>
      </c>
      <c r="F18">
        <v>270</v>
      </c>
      <c r="G18">
        <f>F18+2*H18*M18</f>
        <v>300</v>
      </c>
      <c r="H18">
        <v>6</v>
      </c>
      <c r="I18">
        <f t="shared" ref="I18:I21" si="55">F18/H18</f>
        <v>45</v>
      </c>
      <c r="J18">
        <f t="shared" ref="J18:J21" si="56">SQRT(12*(1-0.3^2)*I18^2*N18/(4*PI()^2*O18))</f>
        <v>0.94604146249571819</v>
      </c>
      <c r="K18">
        <f t="shared" ref="K18:K21" si="57">H18*I18/200</f>
        <v>1.35</v>
      </c>
      <c r="L18">
        <f t="shared" si="53"/>
        <v>22.533811413669468</v>
      </c>
      <c r="M18">
        <v>2.5</v>
      </c>
      <c r="N18">
        <f>D18*C18+(1-D18)*B18</f>
        <v>325</v>
      </c>
      <c r="O18">
        <f t="shared" ref="O18:O21" si="58">193000*D18+(1-D18)*206000</f>
        <v>203400</v>
      </c>
      <c r="P18">
        <f t="shared" ref="P18:P21" si="59">H18*I18*H18*4</f>
        <v>6480</v>
      </c>
      <c r="Q18">
        <f t="shared" ref="Q18:Q21" si="60">PI()*(M18*H18)^2-PI()*((M18-1)*H18)^2</f>
        <v>452.38934211693021</v>
      </c>
      <c r="R18">
        <f t="shared" ref="R18:R21" si="61">P18+Q18</f>
        <v>6932.3893421169305</v>
      </c>
      <c r="S18">
        <f t="shared" si="9"/>
        <v>98937843.544753</v>
      </c>
      <c r="T18">
        <f t="shared" ref="T18:T21" si="62">SQRT(S18/R18)</f>
        <v>119.46474135158041</v>
      </c>
      <c r="U18">
        <f t="shared" ref="U18:U21" si="63">PI()*V18*SQRT(O18/N18)</f>
        <v>188.62311305185247</v>
      </c>
      <c r="V18">
        <v>2.4</v>
      </c>
      <c r="W18">
        <f t="shared" ref="W18:W21" si="64">R18*N18/1000</f>
        <v>2253.0265361880024</v>
      </c>
      <c r="X18">
        <v>353.6</v>
      </c>
      <c r="Y18">
        <f t="shared" si="13"/>
        <v>0.1569444453141115</v>
      </c>
      <c r="Z18" t="str">
        <f t="shared" si="14"/>
        <v>MC-cn17</v>
      </c>
      <c r="AA18">
        <f t="shared" si="15"/>
        <v>490</v>
      </c>
      <c r="AB18">
        <f t="shared" si="52"/>
        <v>517.02058150931066</v>
      </c>
      <c r="AC18">
        <f t="shared" si="16"/>
        <v>519.7880493042129</v>
      </c>
      <c r="AD18">
        <f t="shared" si="17"/>
        <v>325.88344850615891</v>
      </c>
      <c r="AE18">
        <f t="shared" si="18"/>
        <v>473.25094511267991</v>
      </c>
      <c r="AF18">
        <f t="shared" si="51"/>
        <v>2320.0936837157406</v>
      </c>
      <c r="AG18">
        <f t="shared" si="20"/>
        <v>0.15240763874400656</v>
      </c>
    </row>
    <row r="19" spans="1:33" x14ac:dyDescent="0.25">
      <c r="A19">
        <v>18</v>
      </c>
      <c r="B19">
        <v>355</v>
      </c>
      <c r="C19">
        <v>205</v>
      </c>
      <c r="D19">
        <v>0.2</v>
      </c>
      <c r="E19">
        <f t="shared" si="54"/>
        <v>23396.344185400256</v>
      </c>
      <c r="F19">
        <v>270</v>
      </c>
      <c r="G19">
        <f t="shared" ref="G19:G21" si="65">F19+2*H19*M19</f>
        <v>312</v>
      </c>
      <c r="H19">
        <v>6</v>
      </c>
      <c r="I19">
        <f t="shared" si="55"/>
        <v>45</v>
      </c>
      <c r="J19">
        <f t="shared" si="56"/>
        <v>0.94604146249571819</v>
      </c>
      <c r="K19">
        <f t="shared" si="57"/>
        <v>1.35</v>
      </c>
      <c r="L19">
        <f t="shared" si="53"/>
        <v>23.396344185400256</v>
      </c>
      <c r="M19">
        <v>3.5</v>
      </c>
      <c r="N19">
        <f t="shared" ref="N19:N21" si="66">D19*C19+(1-D19)*B19</f>
        <v>325</v>
      </c>
      <c r="O19">
        <f t="shared" si="58"/>
        <v>203400</v>
      </c>
      <c r="P19">
        <f t="shared" si="59"/>
        <v>6480</v>
      </c>
      <c r="Q19">
        <f t="shared" si="60"/>
        <v>678.58401317539528</v>
      </c>
      <c r="R19">
        <f t="shared" si="61"/>
        <v>7158.5840131753957</v>
      </c>
      <c r="S19">
        <f t="shared" si="9"/>
        <v>110137017.87831528</v>
      </c>
      <c r="T19">
        <f t="shared" si="62"/>
        <v>124.03752544879589</v>
      </c>
      <c r="U19">
        <f t="shared" si="63"/>
        <v>188.62311305185247</v>
      </c>
      <c r="V19">
        <v>2.4</v>
      </c>
      <c r="W19">
        <f t="shared" si="64"/>
        <v>2326.5398042820034</v>
      </c>
      <c r="X19">
        <v>363.1</v>
      </c>
      <c r="Y19">
        <f t="shared" si="13"/>
        <v>0.15606868162397797</v>
      </c>
      <c r="Z19" t="str">
        <f t="shared" si="14"/>
        <v>MC-cn18</v>
      </c>
      <c r="AA19">
        <f t="shared" si="15"/>
        <v>490</v>
      </c>
      <c r="AB19">
        <f t="shared" si="52"/>
        <v>517.02058150931066</v>
      </c>
      <c r="AC19">
        <f t="shared" si="16"/>
        <v>490.5313485704678</v>
      </c>
      <c r="AD19">
        <f t="shared" si="17"/>
        <v>305.56904784310274</v>
      </c>
      <c r="AE19">
        <f t="shared" si="18"/>
        <v>448.60656040559837</v>
      </c>
      <c r="AF19">
        <f t="shared" si="51"/>
        <v>2410.4172400968414</v>
      </c>
      <c r="AG19">
        <f t="shared" si="20"/>
        <v>0.1506378206892563</v>
      </c>
    </row>
    <row r="20" spans="1:33" x14ac:dyDescent="0.25">
      <c r="A20">
        <v>19</v>
      </c>
      <c r="B20">
        <v>355</v>
      </c>
      <c r="C20">
        <v>205</v>
      </c>
      <c r="D20">
        <v>0.2</v>
      </c>
      <c r="E20">
        <f t="shared" si="54"/>
        <v>24254.960467682711</v>
      </c>
      <c r="F20">
        <v>270</v>
      </c>
      <c r="G20">
        <f t="shared" si="65"/>
        <v>324</v>
      </c>
      <c r="H20">
        <v>6</v>
      </c>
      <c r="I20">
        <f t="shared" si="55"/>
        <v>45</v>
      </c>
      <c r="J20">
        <f t="shared" si="56"/>
        <v>0.94604146249571819</v>
      </c>
      <c r="K20">
        <f t="shared" si="57"/>
        <v>1.35</v>
      </c>
      <c r="L20">
        <f t="shared" si="53"/>
        <v>24.254960467682711</v>
      </c>
      <c r="M20">
        <v>4.5</v>
      </c>
      <c r="N20">
        <f t="shared" si="66"/>
        <v>325</v>
      </c>
      <c r="O20">
        <f t="shared" si="58"/>
        <v>203400</v>
      </c>
      <c r="P20">
        <f t="shared" si="59"/>
        <v>6480</v>
      </c>
      <c r="Q20">
        <f t="shared" si="60"/>
        <v>904.7786842338603</v>
      </c>
      <c r="R20">
        <f t="shared" si="61"/>
        <v>7384.7786842338601</v>
      </c>
      <c r="S20">
        <f t="shared" si="9"/>
        <v>122109319.28530051</v>
      </c>
      <c r="T20">
        <f t="shared" si="62"/>
        <v>128.58954597475562</v>
      </c>
      <c r="U20">
        <f t="shared" si="63"/>
        <v>188.62311305185247</v>
      </c>
      <c r="V20">
        <v>2.4</v>
      </c>
      <c r="W20">
        <f t="shared" si="64"/>
        <v>2400.0530723760044</v>
      </c>
      <c r="X20">
        <v>370</v>
      </c>
      <c r="Y20">
        <f t="shared" si="13"/>
        <v>0.15416325757901156</v>
      </c>
      <c r="Z20" t="str">
        <f t="shared" si="14"/>
        <v>MC-cn19</v>
      </c>
      <c r="AA20">
        <f t="shared" si="15"/>
        <v>490</v>
      </c>
      <c r="AB20">
        <f t="shared" si="52"/>
        <v>517.02058150931066</v>
      </c>
      <c r="AC20">
        <f t="shared" si="16"/>
        <v>472.16589361674886</v>
      </c>
      <c r="AD20">
        <f t="shared" si="17"/>
        <v>292.88506637012813</v>
      </c>
      <c r="AE20">
        <f t="shared" si="18"/>
        <v>432.72411162249233</v>
      </c>
      <c r="AF20">
        <f t="shared" si="51"/>
        <v>2497.5195523500647</v>
      </c>
      <c r="AG20">
        <f t="shared" si="20"/>
        <v>0.1481469883396288</v>
      </c>
    </row>
    <row r="21" spans="1:33" x14ac:dyDescent="0.25">
      <c r="A21">
        <v>20</v>
      </c>
      <c r="B21">
        <v>355</v>
      </c>
      <c r="C21">
        <v>205</v>
      </c>
      <c r="D21">
        <v>0.2</v>
      </c>
      <c r="E21">
        <f t="shared" si="54"/>
        <v>25110.0316869331</v>
      </c>
      <c r="F21">
        <v>270</v>
      </c>
      <c r="G21">
        <f t="shared" si="65"/>
        <v>336</v>
      </c>
      <c r="H21">
        <v>6</v>
      </c>
      <c r="I21">
        <f t="shared" si="55"/>
        <v>45</v>
      </c>
      <c r="J21">
        <f t="shared" si="56"/>
        <v>0.94604146249571819</v>
      </c>
      <c r="K21">
        <f t="shared" si="57"/>
        <v>1.35</v>
      </c>
      <c r="L21">
        <f t="shared" si="53"/>
        <v>25.110031686933102</v>
      </c>
      <c r="M21">
        <v>5.5</v>
      </c>
      <c r="N21">
        <f t="shared" si="66"/>
        <v>325</v>
      </c>
      <c r="O21">
        <f t="shared" si="58"/>
        <v>203400</v>
      </c>
      <c r="P21">
        <f t="shared" si="59"/>
        <v>6480</v>
      </c>
      <c r="Q21">
        <f t="shared" si="60"/>
        <v>1130.9733552923258</v>
      </c>
      <c r="R21">
        <f t="shared" si="61"/>
        <v>7610.9733552923262</v>
      </c>
      <c r="S21">
        <f t="shared" si="9"/>
        <v>134879176.79018301</v>
      </c>
      <c r="T21">
        <f t="shared" si="62"/>
        <v>133.12277207528834</v>
      </c>
      <c r="U21">
        <f t="shared" si="63"/>
        <v>188.62311305185247</v>
      </c>
      <c r="V21">
        <v>2.4</v>
      </c>
      <c r="W21">
        <f t="shared" si="64"/>
        <v>2473.5663404700063</v>
      </c>
      <c r="X21">
        <v>378.2</v>
      </c>
      <c r="Y21">
        <f t="shared" si="13"/>
        <v>0.15289664716578316</v>
      </c>
      <c r="Z21" t="str">
        <f t="shared" si="14"/>
        <v>MC-cn20</v>
      </c>
      <c r="AA21">
        <f t="shared" si="15"/>
        <v>490</v>
      </c>
      <c r="AB21">
        <f t="shared" si="52"/>
        <v>517.02058150931066</v>
      </c>
      <c r="AC21">
        <f t="shared" si="16"/>
        <v>458.89857374554873</v>
      </c>
      <c r="AD21">
        <f t="shared" si="17"/>
        <v>283.75598161340156</v>
      </c>
      <c r="AE21">
        <f t="shared" si="18"/>
        <v>421.06777384500498</v>
      </c>
      <c r="AF21">
        <f t="shared" si="51"/>
        <v>2582.2164329909556</v>
      </c>
      <c r="AG21">
        <f t="shared" si="20"/>
        <v>0.14646332320096603</v>
      </c>
    </row>
    <row r="88" spans="28:33" x14ac:dyDescent="0.25">
      <c r="AB88" s="7"/>
      <c r="AF88" s="7"/>
      <c r="AG88" s="7"/>
    </row>
    <row r="89" spans="28:33" x14ac:dyDescent="0.25">
      <c r="AB89" s="4"/>
      <c r="AF89" s="4"/>
      <c r="AG89" s="4"/>
    </row>
  </sheetData>
  <sortState xmlns:xlrd2="http://schemas.microsoft.com/office/spreadsheetml/2017/richdata2" ref="A24:AG43">
    <sortCondition ref="V24:V43"/>
    <sortCondition ref="M24:M4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局部缺陷L</vt:lpstr>
      <vt:lpstr>材料组合M</vt:lpstr>
      <vt:lpstr>残余应力R</vt:lpstr>
      <vt:lpstr>拐角半径C</vt:lpstr>
      <vt:lpstr>拐角半径cn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Zhuo Zeng</cp:lastModifiedBy>
  <dcterms:created xsi:type="dcterms:W3CDTF">2015-06-05T18:17:20Z</dcterms:created>
  <dcterms:modified xsi:type="dcterms:W3CDTF">2026-03-27T13:57:20Z</dcterms:modified>
</cp:coreProperties>
</file>