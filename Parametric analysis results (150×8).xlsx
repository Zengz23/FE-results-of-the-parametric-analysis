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F29178A6-D038-4A3B-902F-9146DED864A6}" xr6:coauthVersionLast="47" xr6:coauthVersionMax="47" xr10:uidLastSave="{00000000-0000-0000-0000-000000000000}"/>
  <bookViews>
    <workbookView xWindow="2952" yWindow="2136" windowWidth="23040" windowHeight="12120" activeTab="7" xr2:uid="{00000000-000D-0000-FFFF-FFFF00000000}"/>
  </bookViews>
  <sheets>
    <sheet name="整体缺陷G" sheetId="1" r:id="rId1"/>
    <sheet name="局部缺陷L" sheetId="18" r:id="rId2"/>
    <sheet name="残余应力R" sheetId="3" r:id="rId3"/>
    <sheet name="材料组合M" sheetId="4" r:id="rId4"/>
    <sheet name="复合比B" sheetId="6" r:id="rId5"/>
    <sheet name="复合比bn" sheetId="14" r:id="rId6"/>
    <sheet name="拐角半径C" sheetId="9" r:id="rId7"/>
    <sheet name="拐角半径cn" sheetId="16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46" i="3" l="1"/>
  <c r="N46" i="3"/>
  <c r="X46" i="3"/>
  <c r="L25" i="1"/>
  <c r="L26" i="1"/>
  <c r="L27" i="1"/>
  <c r="L28" i="1"/>
  <c r="L29" i="1"/>
  <c r="L30" i="1"/>
  <c r="L31" i="1"/>
  <c r="L32" i="1"/>
  <c r="L33" i="1"/>
  <c r="L34" i="1"/>
  <c r="L24" i="1"/>
  <c r="L14" i="1"/>
  <c r="L15" i="1"/>
  <c r="L16" i="1"/>
  <c r="L17" i="1"/>
  <c r="L18" i="1"/>
  <c r="L19" i="1"/>
  <c r="L20" i="1"/>
  <c r="L21" i="1"/>
  <c r="L22" i="1"/>
  <c r="L23" i="1"/>
  <c r="L13" i="1"/>
  <c r="L3" i="1"/>
  <c r="L4" i="1"/>
  <c r="L5" i="1"/>
  <c r="L6" i="1"/>
  <c r="L7" i="1"/>
  <c r="L8" i="1"/>
  <c r="L9" i="1"/>
  <c r="L10" i="1"/>
  <c r="L11" i="1"/>
  <c r="L12" i="1"/>
  <c r="L2" i="1"/>
  <c r="Y2" i="18"/>
  <c r="Y3" i="18"/>
  <c r="Y4" i="18"/>
  <c r="Y5" i="18"/>
  <c r="Y6" i="18"/>
  <c r="Y7" i="18"/>
  <c r="Y8" i="18"/>
  <c r="Y9" i="18"/>
  <c r="Y10" i="18"/>
  <c r="Y11" i="18"/>
  <c r="Y12" i="18"/>
  <c r="Y13" i="18"/>
  <c r="Y14" i="18"/>
  <c r="Y15" i="18"/>
  <c r="Y16" i="18"/>
  <c r="Y17" i="18"/>
  <c r="Y18" i="18"/>
  <c r="Y19" i="18"/>
  <c r="Y20" i="18"/>
  <c r="Y21" i="18"/>
  <c r="Y22" i="18"/>
  <c r="Y23" i="18"/>
  <c r="Y24" i="18"/>
  <c r="Y25" i="18"/>
  <c r="Y26" i="18"/>
  <c r="Y27" i="18"/>
  <c r="Y28" i="18"/>
  <c r="Y29" i="18"/>
  <c r="Y30" i="18"/>
  <c r="Y31" i="18"/>
  <c r="Y32" i="18"/>
  <c r="Y33" i="18"/>
  <c r="Y34" i="18"/>
  <c r="G3" i="16"/>
  <c r="G4" i="16"/>
  <c r="G5" i="16"/>
  <c r="G6" i="16"/>
  <c r="G7" i="16"/>
  <c r="G8" i="16"/>
  <c r="G9" i="16"/>
  <c r="G10" i="16"/>
  <c r="G11" i="16"/>
  <c r="G12" i="16"/>
  <c r="G13" i="16"/>
  <c r="G14" i="16"/>
  <c r="G15" i="16"/>
  <c r="G16" i="16"/>
  <c r="G17" i="16"/>
  <c r="G18" i="16"/>
  <c r="G19" i="16"/>
  <c r="G20" i="16"/>
  <c r="G21" i="16"/>
  <c r="G2" i="16"/>
  <c r="G3" i="9"/>
  <c r="G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2" i="9"/>
  <c r="N2" i="14"/>
  <c r="W2" i="14"/>
  <c r="AE67" i="3"/>
  <c r="AC67" i="3"/>
  <c r="AB67" i="3"/>
  <c r="AD67" i="3" s="1"/>
  <c r="AA67" i="3"/>
  <c r="Q67" i="3"/>
  <c r="O67" i="3"/>
  <c r="N67" i="3"/>
  <c r="L67" i="3"/>
  <c r="I67" i="3"/>
  <c r="P67" i="3" s="1"/>
  <c r="R67" i="3" s="1"/>
  <c r="X67" i="3" s="1"/>
  <c r="Z67" i="3" s="1"/>
  <c r="G67" i="3"/>
  <c r="AE66" i="3"/>
  <c r="AC66" i="3"/>
  <c r="AB66" i="3"/>
  <c r="AD66" i="3" s="1"/>
  <c r="AA66" i="3"/>
  <c r="Q66" i="3"/>
  <c r="O66" i="3"/>
  <c r="N66" i="3"/>
  <c r="L66" i="3"/>
  <c r="I66" i="3"/>
  <c r="G66" i="3"/>
  <c r="AE65" i="3"/>
  <c r="AC65" i="3"/>
  <c r="AB65" i="3"/>
  <c r="AD65" i="3" s="1"/>
  <c r="AF65" i="3" s="1"/>
  <c r="AA65" i="3"/>
  <c r="S65" i="3"/>
  <c r="Q65" i="3"/>
  <c r="O65" i="3"/>
  <c r="N65" i="3"/>
  <c r="L65" i="3"/>
  <c r="I65" i="3"/>
  <c r="P65" i="3" s="1"/>
  <c r="G65" i="3"/>
  <c r="AE64" i="3"/>
  <c r="AC64" i="3"/>
  <c r="AB64" i="3"/>
  <c r="AD64" i="3" s="1"/>
  <c r="AA64" i="3"/>
  <c r="Q64" i="3"/>
  <c r="O64" i="3"/>
  <c r="N64" i="3"/>
  <c r="L64" i="3"/>
  <c r="I64" i="3"/>
  <c r="J64" i="3" s="1"/>
  <c r="G64" i="3"/>
  <c r="AE63" i="3"/>
  <c r="AC63" i="3"/>
  <c r="AB63" i="3"/>
  <c r="AD63" i="3" s="1"/>
  <c r="AF63" i="3" s="1"/>
  <c r="AA63" i="3"/>
  <c r="Q63" i="3"/>
  <c r="O63" i="3"/>
  <c r="N63" i="3"/>
  <c r="L63" i="3"/>
  <c r="I63" i="3"/>
  <c r="P63" i="3" s="1"/>
  <c r="R63" i="3" s="1"/>
  <c r="G63" i="3"/>
  <c r="AE62" i="3"/>
  <c r="AC62" i="3"/>
  <c r="AB62" i="3"/>
  <c r="AD62" i="3" s="1"/>
  <c r="AA62" i="3"/>
  <c r="Q62" i="3"/>
  <c r="O62" i="3"/>
  <c r="N62" i="3"/>
  <c r="L62" i="3"/>
  <c r="I62" i="3"/>
  <c r="G62" i="3"/>
  <c r="AE61" i="3"/>
  <c r="AC61" i="3"/>
  <c r="AB61" i="3"/>
  <c r="AD61" i="3" s="1"/>
  <c r="AF61" i="3" s="1"/>
  <c r="AA61" i="3"/>
  <c r="Q61" i="3"/>
  <c r="O61" i="3"/>
  <c r="N61" i="3"/>
  <c r="L61" i="3"/>
  <c r="I61" i="3"/>
  <c r="P61" i="3" s="1"/>
  <c r="G61" i="3"/>
  <c r="AE60" i="3"/>
  <c r="AC60" i="3"/>
  <c r="AB60" i="3"/>
  <c r="AD60" i="3" s="1"/>
  <c r="AF60" i="3" s="1"/>
  <c r="AA60" i="3"/>
  <c r="Q60" i="3"/>
  <c r="O60" i="3"/>
  <c r="N60" i="3"/>
  <c r="L60" i="3"/>
  <c r="I60" i="3"/>
  <c r="P60" i="3" s="1"/>
  <c r="G60" i="3"/>
  <c r="AE59" i="3"/>
  <c r="AC59" i="3"/>
  <c r="AB59" i="3"/>
  <c r="AD59" i="3" s="1"/>
  <c r="AF59" i="3" s="1"/>
  <c r="AA59" i="3"/>
  <c r="Q59" i="3"/>
  <c r="O59" i="3"/>
  <c r="N59" i="3"/>
  <c r="L59" i="3"/>
  <c r="I59" i="3"/>
  <c r="P59" i="3" s="1"/>
  <c r="R59" i="3" s="1"/>
  <c r="X59" i="3" s="1"/>
  <c r="Z59" i="3" s="1"/>
  <c r="G59" i="3"/>
  <c r="AE58" i="3"/>
  <c r="AC58" i="3"/>
  <c r="AB58" i="3"/>
  <c r="AD58" i="3" s="1"/>
  <c r="AA58" i="3"/>
  <c r="Q58" i="3"/>
  <c r="O58" i="3"/>
  <c r="N58" i="3"/>
  <c r="L58" i="3"/>
  <c r="I58" i="3"/>
  <c r="G58" i="3"/>
  <c r="AE57" i="3"/>
  <c r="AC57" i="3"/>
  <c r="AB57" i="3"/>
  <c r="AD57" i="3" s="1"/>
  <c r="AF57" i="3" s="1"/>
  <c r="AA57" i="3"/>
  <c r="S57" i="3"/>
  <c r="Q57" i="3"/>
  <c r="O57" i="3"/>
  <c r="N57" i="3"/>
  <c r="L57" i="3"/>
  <c r="I57" i="3"/>
  <c r="P57" i="3" s="1"/>
  <c r="G57" i="3"/>
  <c r="AE56" i="3"/>
  <c r="AC56" i="3"/>
  <c r="AB56" i="3"/>
  <c r="AD56" i="3" s="1"/>
  <c r="AA56" i="3"/>
  <c r="Q56" i="3"/>
  <c r="O56" i="3"/>
  <c r="N56" i="3"/>
  <c r="L56" i="3"/>
  <c r="I56" i="3"/>
  <c r="P56" i="3" s="1"/>
  <c r="G56" i="3"/>
  <c r="AE55" i="3"/>
  <c r="AC55" i="3"/>
  <c r="AB55" i="3"/>
  <c r="AD55" i="3" s="1"/>
  <c r="AA55" i="3"/>
  <c r="Q55" i="3"/>
  <c r="O55" i="3"/>
  <c r="N55" i="3"/>
  <c r="L55" i="3"/>
  <c r="I55" i="3"/>
  <c r="G55" i="3"/>
  <c r="AE54" i="3"/>
  <c r="AC54" i="3"/>
  <c r="AB54" i="3"/>
  <c r="AD54" i="3" s="1"/>
  <c r="AF54" i="3" s="1"/>
  <c r="AA54" i="3"/>
  <c r="Q54" i="3"/>
  <c r="O54" i="3"/>
  <c r="N54" i="3"/>
  <c r="L54" i="3"/>
  <c r="I54" i="3"/>
  <c r="P54" i="3" s="1"/>
  <c r="G54" i="3"/>
  <c r="AE53" i="3"/>
  <c r="AC53" i="3"/>
  <c r="AB53" i="3"/>
  <c r="AD53" i="3" s="1"/>
  <c r="AA53" i="3"/>
  <c r="Q53" i="3"/>
  <c r="O53" i="3"/>
  <c r="N53" i="3"/>
  <c r="L53" i="3"/>
  <c r="I53" i="3"/>
  <c r="G53" i="3"/>
  <c r="AE52" i="3"/>
  <c r="AC52" i="3"/>
  <c r="AB52" i="3"/>
  <c r="AD52" i="3" s="1"/>
  <c r="AA52" i="3"/>
  <c r="Q52" i="3"/>
  <c r="O52" i="3"/>
  <c r="N52" i="3"/>
  <c r="L52" i="3"/>
  <c r="I52" i="3"/>
  <c r="P52" i="3" s="1"/>
  <c r="G52" i="3"/>
  <c r="AE51" i="3"/>
  <c r="AC51" i="3"/>
  <c r="AB51" i="3"/>
  <c r="AD51" i="3" s="1"/>
  <c r="AF51" i="3" s="1"/>
  <c r="AA51" i="3"/>
  <c r="Q51" i="3"/>
  <c r="O51" i="3"/>
  <c r="N51" i="3"/>
  <c r="L51" i="3"/>
  <c r="I51" i="3"/>
  <c r="G51" i="3"/>
  <c r="AE50" i="3"/>
  <c r="AC50" i="3"/>
  <c r="AB50" i="3"/>
  <c r="AD50" i="3" s="1"/>
  <c r="AA50" i="3"/>
  <c r="Q50" i="3"/>
  <c r="O50" i="3"/>
  <c r="N50" i="3"/>
  <c r="L50" i="3"/>
  <c r="I50" i="3"/>
  <c r="P50" i="3" s="1"/>
  <c r="R50" i="3" s="1"/>
  <c r="X50" i="3" s="1"/>
  <c r="Z50" i="3" s="1"/>
  <c r="G50" i="3"/>
  <c r="AE49" i="3"/>
  <c r="AC49" i="3"/>
  <c r="AB49" i="3"/>
  <c r="AD49" i="3" s="1"/>
  <c r="AA49" i="3"/>
  <c r="Q49" i="3"/>
  <c r="O49" i="3"/>
  <c r="N49" i="3"/>
  <c r="L49" i="3"/>
  <c r="I49" i="3"/>
  <c r="G49" i="3"/>
  <c r="AE48" i="3"/>
  <c r="AC48" i="3"/>
  <c r="AB48" i="3"/>
  <c r="AD48" i="3" s="1"/>
  <c r="AA48" i="3"/>
  <c r="Q48" i="3"/>
  <c r="O48" i="3"/>
  <c r="N48" i="3"/>
  <c r="L48" i="3"/>
  <c r="I48" i="3"/>
  <c r="P48" i="3" s="1"/>
  <c r="G48" i="3"/>
  <c r="AE47" i="3"/>
  <c r="AC47" i="3"/>
  <c r="AB47" i="3"/>
  <c r="AD47" i="3" s="1"/>
  <c r="AA47" i="3"/>
  <c r="Q47" i="3"/>
  <c r="O47" i="3"/>
  <c r="N47" i="3"/>
  <c r="L47" i="3"/>
  <c r="I47" i="3"/>
  <c r="P47" i="3" s="1"/>
  <c r="G47" i="3"/>
  <c r="AE46" i="3"/>
  <c r="AC46" i="3"/>
  <c r="AB46" i="3"/>
  <c r="AD46" i="3" s="1"/>
  <c r="AF46" i="3" s="1"/>
  <c r="AA46" i="3"/>
  <c r="Q46" i="3"/>
  <c r="O46" i="3"/>
  <c r="L46" i="3"/>
  <c r="I46" i="3"/>
  <c r="P46" i="3" s="1"/>
  <c r="G46" i="3"/>
  <c r="AE45" i="3"/>
  <c r="AC45" i="3"/>
  <c r="AB45" i="3"/>
  <c r="AD45" i="3" s="1"/>
  <c r="AA45" i="3"/>
  <c r="Q45" i="3"/>
  <c r="O45" i="3"/>
  <c r="N45" i="3"/>
  <c r="L45" i="3"/>
  <c r="I45" i="3"/>
  <c r="P45" i="3" s="1"/>
  <c r="R45" i="3" s="1"/>
  <c r="X45" i="3" s="1"/>
  <c r="Z45" i="3" s="1"/>
  <c r="G45" i="3"/>
  <c r="AE44" i="3"/>
  <c r="AC44" i="3"/>
  <c r="AB44" i="3"/>
  <c r="AD44" i="3" s="1"/>
  <c r="AF44" i="3" s="1"/>
  <c r="AA44" i="3"/>
  <c r="Q44" i="3"/>
  <c r="O44" i="3"/>
  <c r="N44" i="3"/>
  <c r="L44" i="3"/>
  <c r="I44" i="3"/>
  <c r="K44" i="3" s="1"/>
  <c r="G44" i="3"/>
  <c r="AE43" i="3"/>
  <c r="AC43" i="3"/>
  <c r="AB43" i="3"/>
  <c r="AD43" i="3" s="1"/>
  <c r="AF43" i="3" s="1"/>
  <c r="AA43" i="3"/>
  <c r="Q43" i="3"/>
  <c r="O43" i="3"/>
  <c r="N43" i="3"/>
  <c r="L43" i="3"/>
  <c r="I43" i="3"/>
  <c r="P43" i="3" s="1"/>
  <c r="G43" i="3"/>
  <c r="AE42" i="3"/>
  <c r="AC42" i="3"/>
  <c r="AB42" i="3"/>
  <c r="AD42" i="3" s="1"/>
  <c r="AF42" i="3" s="1"/>
  <c r="AA42" i="3"/>
  <c r="Q42" i="3"/>
  <c r="O42" i="3"/>
  <c r="N42" i="3"/>
  <c r="L42" i="3"/>
  <c r="I42" i="3"/>
  <c r="G42" i="3"/>
  <c r="AE41" i="3"/>
  <c r="AC41" i="3"/>
  <c r="AB41" i="3"/>
  <c r="AD41" i="3" s="1"/>
  <c r="AF41" i="3" s="1"/>
  <c r="AA41" i="3"/>
  <c r="Q41" i="3"/>
  <c r="O41" i="3"/>
  <c r="N41" i="3"/>
  <c r="L41" i="3"/>
  <c r="I41" i="3"/>
  <c r="P41" i="3" s="1"/>
  <c r="G41" i="3"/>
  <c r="AE40" i="3"/>
  <c r="AC40" i="3"/>
  <c r="AB40" i="3"/>
  <c r="AD40" i="3" s="1"/>
  <c r="AF40" i="3" s="1"/>
  <c r="AA40" i="3"/>
  <c r="Q40" i="3"/>
  <c r="O40" i="3"/>
  <c r="N40" i="3"/>
  <c r="L40" i="3"/>
  <c r="I40" i="3"/>
  <c r="K40" i="3" s="1"/>
  <c r="G40" i="3"/>
  <c r="AE39" i="3"/>
  <c r="AC39" i="3"/>
  <c r="AB39" i="3"/>
  <c r="AD39" i="3" s="1"/>
  <c r="AA39" i="3"/>
  <c r="Q39" i="3"/>
  <c r="O39" i="3"/>
  <c r="N39" i="3"/>
  <c r="L39" i="3"/>
  <c r="I39" i="3"/>
  <c r="P39" i="3" s="1"/>
  <c r="G39" i="3"/>
  <c r="AE38" i="3"/>
  <c r="AC38" i="3"/>
  <c r="AB38" i="3"/>
  <c r="AD38" i="3" s="1"/>
  <c r="AF38" i="3" s="1"/>
  <c r="AA38" i="3"/>
  <c r="Q38" i="3"/>
  <c r="O38" i="3"/>
  <c r="N38" i="3"/>
  <c r="L38" i="3"/>
  <c r="I38" i="3"/>
  <c r="K38" i="3" s="1"/>
  <c r="G38" i="3"/>
  <c r="AE37" i="3"/>
  <c r="AC37" i="3"/>
  <c r="AB37" i="3"/>
  <c r="AD37" i="3" s="1"/>
  <c r="AA37" i="3"/>
  <c r="Q37" i="3"/>
  <c r="O37" i="3"/>
  <c r="N37" i="3"/>
  <c r="L37" i="3"/>
  <c r="I37" i="3"/>
  <c r="P37" i="3" s="1"/>
  <c r="G37" i="3"/>
  <c r="AE36" i="3"/>
  <c r="AC36" i="3"/>
  <c r="AB36" i="3"/>
  <c r="AD36" i="3" s="1"/>
  <c r="AA36" i="3"/>
  <c r="Q36" i="3"/>
  <c r="O36" i="3"/>
  <c r="N36" i="3"/>
  <c r="L36" i="3"/>
  <c r="I36" i="3"/>
  <c r="K36" i="3" s="1"/>
  <c r="G36" i="3"/>
  <c r="AE35" i="3"/>
  <c r="AC35" i="3"/>
  <c r="AB35" i="3"/>
  <c r="AD35" i="3" s="1"/>
  <c r="AF35" i="3" s="1"/>
  <c r="AA35" i="3"/>
  <c r="Q35" i="3"/>
  <c r="O35" i="3"/>
  <c r="N35" i="3"/>
  <c r="L35" i="3"/>
  <c r="I35" i="3"/>
  <c r="P35" i="3" s="1"/>
  <c r="G35" i="3"/>
  <c r="AE34" i="3"/>
  <c r="AC34" i="3"/>
  <c r="AB34" i="3"/>
  <c r="AD34" i="3" s="1"/>
  <c r="AA34" i="3"/>
  <c r="Q34" i="3"/>
  <c r="O34" i="3"/>
  <c r="N34" i="3"/>
  <c r="L34" i="3"/>
  <c r="I34" i="3"/>
  <c r="P34" i="3" s="1"/>
  <c r="G34" i="3"/>
  <c r="AE33" i="3"/>
  <c r="AC33" i="3"/>
  <c r="AB33" i="3"/>
  <c r="AD33" i="3" s="1"/>
  <c r="AF33" i="3" s="1"/>
  <c r="AA33" i="3"/>
  <c r="Q33" i="3"/>
  <c r="O33" i="3"/>
  <c r="N33" i="3"/>
  <c r="L33" i="3"/>
  <c r="I33" i="3"/>
  <c r="G33" i="3"/>
  <c r="AE32" i="3"/>
  <c r="AC32" i="3"/>
  <c r="AB32" i="3"/>
  <c r="AD32" i="3" s="1"/>
  <c r="AA32" i="3"/>
  <c r="Q32" i="3"/>
  <c r="O32" i="3"/>
  <c r="N32" i="3"/>
  <c r="L32" i="3"/>
  <c r="I32" i="3"/>
  <c r="P32" i="3" s="1"/>
  <c r="G32" i="3"/>
  <c r="AE31" i="3"/>
  <c r="AC31" i="3"/>
  <c r="AB31" i="3"/>
  <c r="AD31" i="3" s="1"/>
  <c r="AA31" i="3"/>
  <c r="Q31" i="3"/>
  <c r="O31" i="3"/>
  <c r="N31" i="3"/>
  <c r="L31" i="3"/>
  <c r="I31" i="3"/>
  <c r="K31" i="3" s="1"/>
  <c r="G31" i="3"/>
  <c r="AE30" i="3"/>
  <c r="AC30" i="3"/>
  <c r="AB30" i="3"/>
  <c r="AD30" i="3" s="1"/>
  <c r="AF30" i="3" s="1"/>
  <c r="AA30" i="3"/>
  <c r="Q30" i="3"/>
  <c r="O30" i="3"/>
  <c r="N30" i="3"/>
  <c r="L30" i="3"/>
  <c r="I30" i="3"/>
  <c r="P30" i="3" s="1"/>
  <c r="G30" i="3"/>
  <c r="AE29" i="3"/>
  <c r="AC29" i="3"/>
  <c r="AB29" i="3"/>
  <c r="AD29" i="3" s="1"/>
  <c r="AA29" i="3"/>
  <c r="Q29" i="3"/>
  <c r="O29" i="3"/>
  <c r="N29" i="3"/>
  <c r="L29" i="3"/>
  <c r="I29" i="3"/>
  <c r="G29" i="3"/>
  <c r="AE28" i="3"/>
  <c r="AC28" i="3"/>
  <c r="AB28" i="3"/>
  <c r="AD28" i="3" s="1"/>
  <c r="AF28" i="3" s="1"/>
  <c r="AA28" i="3"/>
  <c r="Q28" i="3"/>
  <c r="O28" i="3"/>
  <c r="N28" i="3"/>
  <c r="L28" i="3"/>
  <c r="I28" i="3"/>
  <c r="P28" i="3" s="1"/>
  <c r="G28" i="3"/>
  <c r="AE27" i="3"/>
  <c r="AC27" i="3"/>
  <c r="AB27" i="3"/>
  <c r="AD27" i="3" s="1"/>
  <c r="AF27" i="3" s="1"/>
  <c r="AA27" i="3"/>
  <c r="Q27" i="3"/>
  <c r="O27" i="3"/>
  <c r="N27" i="3"/>
  <c r="L27" i="3"/>
  <c r="I27" i="3"/>
  <c r="K27" i="3" s="1"/>
  <c r="G27" i="3"/>
  <c r="AE26" i="3"/>
  <c r="AC26" i="3"/>
  <c r="AB26" i="3"/>
  <c r="AD26" i="3" s="1"/>
  <c r="AA26" i="3"/>
  <c r="Q26" i="3"/>
  <c r="O26" i="3"/>
  <c r="N26" i="3"/>
  <c r="L26" i="3"/>
  <c r="I26" i="3"/>
  <c r="P26" i="3" s="1"/>
  <c r="G26" i="3"/>
  <c r="AE25" i="3"/>
  <c r="AC25" i="3"/>
  <c r="AB25" i="3"/>
  <c r="AD25" i="3" s="1"/>
  <c r="AF25" i="3" s="1"/>
  <c r="AA25" i="3"/>
  <c r="Q25" i="3"/>
  <c r="O25" i="3"/>
  <c r="N25" i="3"/>
  <c r="L25" i="3"/>
  <c r="I25" i="3"/>
  <c r="G25" i="3"/>
  <c r="AE24" i="3"/>
  <c r="AC24" i="3"/>
  <c r="AB24" i="3"/>
  <c r="AD24" i="3" s="1"/>
  <c r="AF24" i="3" s="1"/>
  <c r="AA24" i="3"/>
  <c r="Q24" i="3"/>
  <c r="O24" i="3"/>
  <c r="N24" i="3"/>
  <c r="L24" i="3"/>
  <c r="I24" i="3"/>
  <c r="P24" i="3" s="1"/>
  <c r="G24" i="3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B4" i="4"/>
  <c r="B3" i="4"/>
  <c r="B2" i="4"/>
  <c r="S3" i="18"/>
  <c r="S4" i="18"/>
  <c r="S5" i="18"/>
  <c r="S6" i="18"/>
  <c r="S7" i="18"/>
  <c r="S8" i="18"/>
  <c r="S9" i="18"/>
  <c r="S10" i="18"/>
  <c r="S11" i="18"/>
  <c r="S12" i="18"/>
  <c r="S13" i="18"/>
  <c r="S14" i="18"/>
  <c r="S15" i="18"/>
  <c r="S16" i="18"/>
  <c r="S17" i="18"/>
  <c r="S18" i="18"/>
  <c r="S19" i="18"/>
  <c r="S20" i="18"/>
  <c r="S21" i="18"/>
  <c r="S22" i="18"/>
  <c r="S23" i="18"/>
  <c r="S24" i="18"/>
  <c r="S25" i="18"/>
  <c r="S26" i="18"/>
  <c r="S27" i="18"/>
  <c r="S28" i="18"/>
  <c r="S29" i="18"/>
  <c r="S30" i="18"/>
  <c r="S31" i="18"/>
  <c r="S32" i="18"/>
  <c r="S33" i="18"/>
  <c r="S34" i="18"/>
  <c r="S2" i="18"/>
  <c r="G2" i="1"/>
  <c r="AF45" i="3" l="1"/>
  <c r="S30" i="3"/>
  <c r="AF39" i="3"/>
  <c r="R41" i="3"/>
  <c r="X41" i="3" s="1"/>
  <c r="Z41" i="3" s="1"/>
  <c r="S52" i="3"/>
  <c r="AF55" i="3"/>
  <c r="S43" i="3"/>
  <c r="J43" i="3"/>
  <c r="S34" i="3"/>
  <c r="AF37" i="3"/>
  <c r="AG37" i="3" s="1"/>
  <c r="AH37" i="3" s="1"/>
  <c r="R47" i="3"/>
  <c r="X47" i="3" s="1"/>
  <c r="Z47" i="3" s="1"/>
  <c r="AF67" i="3"/>
  <c r="AG67" i="3" s="1"/>
  <c r="AH67" i="3" s="1"/>
  <c r="S48" i="3"/>
  <c r="AF48" i="3"/>
  <c r="AG48" i="3" s="1"/>
  <c r="AH48" i="3" s="1"/>
  <c r="AG43" i="3"/>
  <c r="AH43" i="3" s="1"/>
  <c r="R32" i="3"/>
  <c r="X32" i="3" s="1"/>
  <c r="Z32" i="3" s="1"/>
  <c r="AF36" i="3"/>
  <c r="S56" i="3"/>
  <c r="AF56" i="3"/>
  <c r="AG56" i="3" s="1"/>
  <c r="AH56" i="3" s="1"/>
  <c r="S39" i="3"/>
  <c r="AG39" i="3"/>
  <c r="AH39" i="3" s="1"/>
  <c r="S26" i="3"/>
  <c r="R28" i="3"/>
  <c r="X28" i="3" s="1"/>
  <c r="Z28" i="3" s="1"/>
  <c r="J66" i="3"/>
  <c r="J49" i="3"/>
  <c r="AF50" i="3"/>
  <c r="AG50" i="3" s="1"/>
  <c r="AH50" i="3" s="1"/>
  <c r="S61" i="3"/>
  <c r="X63" i="3"/>
  <c r="Z63" i="3" s="1"/>
  <c r="AF64" i="3"/>
  <c r="AG30" i="3"/>
  <c r="AH30" i="3" s="1"/>
  <c r="AF29" i="3"/>
  <c r="AF26" i="3"/>
  <c r="AG26" i="3" s="1"/>
  <c r="AH26" i="3" s="1"/>
  <c r="AF32" i="3"/>
  <c r="S35" i="3"/>
  <c r="R37" i="3"/>
  <c r="X37" i="3" s="1"/>
  <c r="Z37" i="3" s="1"/>
  <c r="K43" i="3"/>
  <c r="Z46" i="3"/>
  <c r="AF47" i="3"/>
  <c r="AG47" i="3" s="1"/>
  <c r="AH47" i="3" s="1"/>
  <c r="R60" i="3"/>
  <c r="X60" i="3" s="1"/>
  <c r="Z60" i="3" s="1"/>
  <c r="AG35" i="3"/>
  <c r="AH35" i="3" s="1"/>
  <c r="J33" i="3"/>
  <c r="R54" i="3"/>
  <c r="X54" i="3" s="1"/>
  <c r="Z54" i="3" s="1"/>
  <c r="R24" i="3"/>
  <c r="X24" i="3" s="1"/>
  <c r="Z24" i="3" s="1"/>
  <c r="AF31" i="3"/>
  <c r="AF34" i="3"/>
  <c r="AG34" i="3" s="1"/>
  <c r="AH34" i="3" s="1"/>
  <c r="AF52" i="3"/>
  <c r="AG52" i="3" s="1"/>
  <c r="AH52" i="3" s="1"/>
  <c r="K59" i="3"/>
  <c r="J32" i="3"/>
  <c r="S46" i="3"/>
  <c r="S50" i="3"/>
  <c r="T50" i="3" s="1"/>
  <c r="U50" i="3" s="1"/>
  <c r="W50" i="3" s="1"/>
  <c r="S53" i="3"/>
  <c r="S54" i="3"/>
  <c r="S58" i="3"/>
  <c r="S59" i="3"/>
  <c r="T59" i="3" s="1"/>
  <c r="U59" i="3" s="1"/>
  <c r="W59" i="3" s="1"/>
  <c r="S62" i="3"/>
  <c r="S63" i="3"/>
  <c r="S67" i="3"/>
  <c r="T67" i="3" s="1"/>
  <c r="U67" i="3" s="1"/>
  <c r="W67" i="3" s="1"/>
  <c r="S51" i="3"/>
  <c r="S55" i="3"/>
  <c r="S29" i="3"/>
  <c r="K54" i="3"/>
  <c r="J24" i="3"/>
  <c r="J45" i="3"/>
  <c r="J50" i="3"/>
  <c r="J54" i="3"/>
  <c r="K28" i="3"/>
  <c r="K63" i="3"/>
  <c r="R48" i="3"/>
  <c r="X48" i="3" s="1"/>
  <c r="Z48" i="3" s="1"/>
  <c r="R52" i="3"/>
  <c r="X52" i="3" s="1"/>
  <c r="Z52" i="3" s="1"/>
  <c r="R56" i="3"/>
  <c r="X56" i="3" s="1"/>
  <c r="Z56" i="3" s="1"/>
  <c r="R57" i="3"/>
  <c r="X57" i="3" s="1"/>
  <c r="Z57" i="3" s="1"/>
  <c r="R61" i="3"/>
  <c r="X61" i="3" s="1"/>
  <c r="Z61" i="3" s="1"/>
  <c r="R65" i="3"/>
  <c r="X65" i="3" s="1"/>
  <c r="Z65" i="3" s="1"/>
  <c r="K67" i="3"/>
  <c r="J59" i="3"/>
  <c r="S24" i="3"/>
  <c r="T24" i="3" s="1"/>
  <c r="U24" i="3" s="1"/>
  <c r="W24" i="3" s="1"/>
  <c r="S28" i="3"/>
  <c r="S32" i="3"/>
  <c r="S37" i="3"/>
  <c r="T37" i="3" s="1"/>
  <c r="U37" i="3" s="1"/>
  <c r="W37" i="3" s="1"/>
  <c r="S41" i="3"/>
  <c r="T41" i="3" s="1"/>
  <c r="U41" i="3" s="1"/>
  <c r="W41" i="3" s="1"/>
  <c r="S45" i="3"/>
  <c r="T45" i="3" s="1"/>
  <c r="U45" i="3" s="1"/>
  <c r="W45" i="3" s="1"/>
  <c r="K48" i="3"/>
  <c r="K52" i="3"/>
  <c r="K56" i="3"/>
  <c r="K57" i="3"/>
  <c r="K61" i="3"/>
  <c r="K65" i="3"/>
  <c r="K50" i="3"/>
  <c r="J28" i="3"/>
  <c r="J37" i="3"/>
  <c r="R26" i="3"/>
  <c r="X26" i="3" s="1"/>
  <c r="Z26" i="3" s="1"/>
  <c r="R30" i="3"/>
  <c r="X30" i="3" s="1"/>
  <c r="Z30" i="3" s="1"/>
  <c r="R34" i="3"/>
  <c r="X34" i="3" s="1"/>
  <c r="Z34" i="3" s="1"/>
  <c r="R35" i="3"/>
  <c r="X35" i="3" s="1"/>
  <c r="Z35" i="3" s="1"/>
  <c r="R39" i="3"/>
  <c r="X39" i="3" s="1"/>
  <c r="Z39" i="3" s="1"/>
  <c r="R43" i="3"/>
  <c r="X43" i="3" s="1"/>
  <c r="Z43" i="3" s="1"/>
  <c r="S25" i="3"/>
  <c r="S42" i="3"/>
  <c r="J41" i="3"/>
  <c r="J46" i="3"/>
  <c r="J63" i="3"/>
  <c r="K24" i="3"/>
  <c r="J26" i="3"/>
  <c r="J30" i="3"/>
  <c r="J34" i="3"/>
  <c r="J35" i="3"/>
  <c r="J39" i="3"/>
  <c r="J48" i="3"/>
  <c r="J52" i="3"/>
  <c r="J56" i="3"/>
  <c r="J57" i="3"/>
  <c r="J61" i="3"/>
  <c r="J65" i="3"/>
  <c r="K46" i="3"/>
  <c r="J67" i="3"/>
  <c r="K32" i="3"/>
  <c r="K37" i="3"/>
  <c r="K41" i="3"/>
  <c r="K45" i="3"/>
  <c r="K26" i="3"/>
  <c r="K30" i="3"/>
  <c r="K34" i="3"/>
  <c r="K35" i="3"/>
  <c r="K39" i="3"/>
  <c r="AF49" i="3"/>
  <c r="AF53" i="3"/>
  <c r="AF58" i="3"/>
  <c r="AG58" i="3" s="1"/>
  <c r="AH58" i="3" s="1"/>
  <c r="AF62" i="3"/>
  <c r="AF66" i="3"/>
  <c r="AG51" i="3"/>
  <c r="AH51" i="3" s="1"/>
  <c r="AG57" i="3"/>
  <c r="AH57" i="3" s="1"/>
  <c r="AG60" i="3"/>
  <c r="AH60" i="3" s="1"/>
  <c r="AG61" i="3"/>
  <c r="AH61" i="3" s="1"/>
  <c r="AG65" i="3"/>
  <c r="AH65" i="3" s="1"/>
  <c r="T63" i="3"/>
  <c r="U63" i="3" s="1"/>
  <c r="W63" i="3" s="1"/>
  <c r="AG46" i="3"/>
  <c r="AH46" i="3" s="1"/>
  <c r="AG54" i="3"/>
  <c r="AH54" i="3" s="1"/>
  <c r="AG59" i="3"/>
  <c r="AH59" i="3" s="1"/>
  <c r="AG63" i="3"/>
  <c r="AH63" i="3" s="1"/>
  <c r="J53" i="3"/>
  <c r="J62" i="3"/>
  <c r="J47" i="3"/>
  <c r="J55" i="3"/>
  <c r="K47" i="3"/>
  <c r="K60" i="3"/>
  <c r="P49" i="3"/>
  <c r="R49" i="3" s="1"/>
  <c r="X49" i="3" s="1"/>
  <c r="Z49" i="3" s="1"/>
  <c r="P55" i="3"/>
  <c r="R55" i="3" s="1"/>
  <c r="X55" i="3" s="1"/>
  <c r="Z55" i="3" s="1"/>
  <c r="P62" i="3"/>
  <c r="R62" i="3" s="1"/>
  <c r="X62" i="3" s="1"/>
  <c r="Z62" i="3" s="1"/>
  <c r="K49" i="3"/>
  <c r="K51" i="3"/>
  <c r="K58" i="3"/>
  <c r="K62" i="3"/>
  <c r="J51" i="3"/>
  <c r="J58" i="3"/>
  <c r="K66" i="3"/>
  <c r="P51" i="3"/>
  <c r="R51" i="3" s="1"/>
  <c r="X51" i="3" s="1"/>
  <c r="Z51" i="3" s="1"/>
  <c r="P58" i="3"/>
  <c r="R58" i="3" s="1"/>
  <c r="X58" i="3" s="1"/>
  <c r="Z58" i="3" s="1"/>
  <c r="S47" i="3"/>
  <c r="T47" i="3" s="1"/>
  <c r="U47" i="3" s="1"/>
  <c r="W47" i="3" s="1"/>
  <c r="S60" i="3"/>
  <c r="T60" i="3" s="1"/>
  <c r="U60" i="3" s="1"/>
  <c r="W60" i="3" s="1"/>
  <c r="S66" i="3"/>
  <c r="K53" i="3"/>
  <c r="K55" i="3"/>
  <c r="K64" i="3"/>
  <c r="P53" i="3"/>
  <c r="R53" i="3" s="1"/>
  <c r="X53" i="3" s="1"/>
  <c r="Z53" i="3" s="1"/>
  <c r="P64" i="3"/>
  <c r="R64" i="3" s="1"/>
  <c r="X64" i="3" s="1"/>
  <c r="Z64" i="3" s="1"/>
  <c r="S49" i="3"/>
  <c r="S64" i="3"/>
  <c r="J60" i="3"/>
  <c r="P66" i="3"/>
  <c r="R66" i="3" s="1"/>
  <c r="X66" i="3" s="1"/>
  <c r="Z66" i="3" s="1"/>
  <c r="AG24" i="3"/>
  <c r="AH24" i="3" s="1"/>
  <c r="AG28" i="3"/>
  <c r="AH28" i="3" s="1"/>
  <c r="AG32" i="3"/>
  <c r="AH32" i="3" s="1"/>
  <c r="AG41" i="3"/>
  <c r="AH41" i="3" s="1"/>
  <c r="AG45" i="3"/>
  <c r="AH45" i="3" s="1"/>
  <c r="J25" i="3"/>
  <c r="J31" i="3"/>
  <c r="J42" i="3"/>
  <c r="K42" i="3"/>
  <c r="P25" i="3"/>
  <c r="R25" i="3" s="1"/>
  <c r="X25" i="3" s="1"/>
  <c r="Z25" i="3" s="1"/>
  <c r="P27" i="3"/>
  <c r="R27" i="3" s="1"/>
  <c r="X27" i="3" s="1"/>
  <c r="Z27" i="3" s="1"/>
  <c r="P29" i="3"/>
  <c r="R29" i="3" s="1"/>
  <c r="X29" i="3" s="1"/>
  <c r="Z29" i="3" s="1"/>
  <c r="P31" i="3"/>
  <c r="R31" i="3" s="1"/>
  <c r="X31" i="3" s="1"/>
  <c r="Z31" i="3" s="1"/>
  <c r="P33" i="3"/>
  <c r="R33" i="3" s="1"/>
  <c r="X33" i="3" s="1"/>
  <c r="Z33" i="3" s="1"/>
  <c r="P36" i="3"/>
  <c r="R36" i="3" s="1"/>
  <c r="X36" i="3" s="1"/>
  <c r="Z36" i="3" s="1"/>
  <c r="P38" i="3"/>
  <c r="R38" i="3" s="1"/>
  <c r="X38" i="3" s="1"/>
  <c r="Z38" i="3" s="1"/>
  <c r="P40" i="3"/>
  <c r="R40" i="3" s="1"/>
  <c r="X40" i="3" s="1"/>
  <c r="Z40" i="3" s="1"/>
  <c r="P42" i="3"/>
  <c r="R42" i="3" s="1"/>
  <c r="X42" i="3" s="1"/>
  <c r="Z42" i="3" s="1"/>
  <c r="P44" i="3"/>
  <c r="R44" i="3" s="1"/>
  <c r="X44" i="3" s="1"/>
  <c r="Z44" i="3" s="1"/>
  <c r="J38" i="3"/>
  <c r="J44" i="3"/>
  <c r="J27" i="3"/>
  <c r="J29" i="3"/>
  <c r="K25" i="3"/>
  <c r="K29" i="3"/>
  <c r="K33" i="3"/>
  <c r="S27" i="3"/>
  <c r="S31" i="3"/>
  <c r="S33" i="3"/>
  <c r="S36" i="3"/>
  <c r="S38" i="3"/>
  <c r="S40" i="3"/>
  <c r="S44" i="3"/>
  <c r="J36" i="3"/>
  <c r="J40" i="3"/>
  <c r="Z3" i="18"/>
  <c r="Z4" i="18"/>
  <c r="Z5" i="18"/>
  <c r="Z6" i="18"/>
  <c r="Z7" i="18"/>
  <c r="Z8" i="18"/>
  <c r="Z9" i="18"/>
  <c r="Z10" i="18"/>
  <c r="Z11" i="18"/>
  <c r="Z12" i="18"/>
  <c r="Z13" i="18"/>
  <c r="Z14" i="18"/>
  <c r="Z15" i="18"/>
  <c r="Z16" i="18"/>
  <c r="Z17" i="18"/>
  <c r="Z18" i="18"/>
  <c r="Z19" i="18"/>
  <c r="Z20" i="18"/>
  <c r="Z21" i="18"/>
  <c r="Z22" i="18"/>
  <c r="Z23" i="18"/>
  <c r="Z24" i="18"/>
  <c r="Z25" i="18"/>
  <c r="Z26" i="18"/>
  <c r="Z27" i="18"/>
  <c r="Z28" i="18"/>
  <c r="Z29" i="18"/>
  <c r="Z30" i="18"/>
  <c r="Z31" i="18"/>
  <c r="Z32" i="18"/>
  <c r="Z33" i="18"/>
  <c r="Z34" i="18"/>
  <c r="Z2" i="18"/>
  <c r="K25" i="18"/>
  <c r="K26" i="18"/>
  <c r="K27" i="18"/>
  <c r="K28" i="18"/>
  <c r="K29" i="18"/>
  <c r="K30" i="18"/>
  <c r="K31" i="18"/>
  <c r="K32" i="18"/>
  <c r="K33" i="18"/>
  <c r="K34" i="18"/>
  <c r="K24" i="18"/>
  <c r="K3" i="18"/>
  <c r="K4" i="18"/>
  <c r="K5" i="18"/>
  <c r="K6" i="18"/>
  <c r="K7" i="18"/>
  <c r="K8" i="18"/>
  <c r="K9" i="18"/>
  <c r="K10" i="18"/>
  <c r="K11" i="18"/>
  <c r="K12" i="18"/>
  <c r="K2" i="18"/>
  <c r="L34" i="18"/>
  <c r="L33" i="18"/>
  <c r="L32" i="18"/>
  <c r="L31" i="18"/>
  <c r="L30" i="18"/>
  <c r="L29" i="18"/>
  <c r="L28" i="18"/>
  <c r="L27" i="18"/>
  <c r="L26" i="18"/>
  <c r="L25" i="18"/>
  <c r="L24" i="18"/>
  <c r="L23" i="18"/>
  <c r="L22" i="18"/>
  <c r="L21" i="18"/>
  <c r="L20" i="18"/>
  <c r="L19" i="18"/>
  <c r="L18" i="18"/>
  <c r="L17" i="18"/>
  <c r="L16" i="18"/>
  <c r="L15" i="18"/>
  <c r="L14" i="18"/>
  <c r="L13" i="18"/>
  <c r="AD34" i="18"/>
  <c r="AB34" i="18"/>
  <c r="AA34" i="18"/>
  <c r="AC34" i="18" s="1"/>
  <c r="AE34" i="18" s="1"/>
  <c r="Q34" i="18"/>
  <c r="O34" i="18"/>
  <c r="N34" i="18"/>
  <c r="I34" i="18"/>
  <c r="J34" i="18" s="1"/>
  <c r="G34" i="18"/>
  <c r="AD33" i="18"/>
  <c r="AB33" i="18"/>
  <c r="AA33" i="18"/>
  <c r="AC33" i="18" s="1"/>
  <c r="AE33" i="18" s="1"/>
  <c r="Q33" i="18"/>
  <c r="O33" i="18"/>
  <c r="N33" i="18"/>
  <c r="I33" i="18"/>
  <c r="G33" i="18"/>
  <c r="AD32" i="18"/>
  <c r="AB32" i="18"/>
  <c r="AA32" i="18"/>
  <c r="AC32" i="18" s="1"/>
  <c r="AE32" i="18" s="1"/>
  <c r="Q32" i="18"/>
  <c r="O32" i="18"/>
  <c r="N32" i="18"/>
  <c r="I32" i="18"/>
  <c r="G32" i="18"/>
  <c r="AD31" i="18"/>
  <c r="AB31" i="18"/>
  <c r="AA31" i="18"/>
  <c r="AC31" i="18" s="1"/>
  <c r="AE31" i="18" s="1"/>
  <c r="Q31" i="18"/>
  <c r="P31" i="18"/>
  <c r="AF31" i="18" s="1"/>
  <c r="AG31" i="18" s="1"/>
  <c r="O31" i="18"/>
  <c r="N31" i="18"/>
  <c r="I31" i="18"/>
  <c r="G31" i="18"/>
  <c r="AD30" i="18"/>
  <c r="AB30" i="18"/>
  <c r="AA30" i="18"/>
  <c r="AC30" i="18" s="1"/>
  <c r="AE30" i="18" s="1"/>
  <c r="R30" i="18"/>
  <c r="W30" i="18" s="1"/>
  <c r="Q30" i="18"/>
  <c r="P30" i="18"/>
  <c r="O30" i="18"/>
  <c r="N30" i="18"/>
  <c r="I30" i="18"/>
  <c r="G30" i="18"/>
  <c r="AD29" i="18"/>
  <c r="AC29" i="18"/>
  <c r="AE29" i="18" s="1"/>
  <c r="AF29" i="18" s="1"/>
  <c r="AG29" i="18" s="1"/>
  <c r="AB29" i="18"/>
  <c r="AA29" i="18"/>
  <c r="Q29" i="18"/>
  <c r="P29" i="18"/>
  <c r="R29" i="18" s="1"/>
  <c r="W29" i="18" s="1"/>
  <c r="O29" i="18"/>
  <c r="N29" i="18"/>
  <c r="I29" i="18"/>
  <c r="G29" i="18"/>
  <c r="AF28" i="18"/>
  <c r="AG28" i="18" s="1"/>
  <c r="AD28" i="18"/>
  <c r="AB28" i="18"/>
  <c r="AA28" i="18"/>
  <c r="AC28" i="18" s="1"/>
  <c r="AE28" i="18" s="1"/>
  <c r="Q28" i="18"/>
  <c r="P28" i="18"/>
  <c r="R28" i="18" s="1"/>
  <c r="W28" i="18" s="1"/>
  <c r="O28" i="18"/>
  <c r="N28" i="18"/>
  <c r="J28" i="18"/>
  <c r="I28" i="18"/>
  <c r="G28" i="18"/>
  <c r="AE27" i="18"/>
  <c r="AF27" i="18" s="1"/>
  <c r="AG27" i="18" s="1"/>
  <c r="AD27" i="18"/>
  <c r="AC27" i="18"/>
  <c r="AB27" i="18"/>
  <c r="AA27" i="18"/>
  <c r="Q27" i="18"/>
  <c r="P27" i="18"/>
  <c r="R27" i="18" s="1"/>
  <c r="W27" i="18" s="1"/>
  <c r="O27" i="18"/>
  <c r="N27" i="18"/>
  <c r="I27" i="18"/>
  <c r="G27" i="18"/>
  <c r="AF26" i="18"/>
  <c r="AG26" i="18" s="1"/>
  <c r="AD26" i="18"/>
  <c r="AB26" i="18"/>
  <c r="AA26" i="18"/>
  <c r="AC26" i="18" s="1"/>
  <c r="AE26" i="18" s="1"/>
  <c r="Q26" i="18"/>
  <c r="P26" i="18"/>
  <c r="R26" i="18" s="1"/>
  <c r="W26" i="18" s="1"/>
  <c r="O26" i="18"/>
  <c r="N26" i="18"/>
  <c r="I26" i="18"/>
  <c r="G26" i="18"/>
  <c r="AD25" i="18"/>
  <c r="AC25" i="18"/>
  <c r="AE25" i="18" s="1"/>
  <c r="AB25" i="18"/>
  <c r="AA25" i="18"/>
  <c r="Q25" i="18"/>
  <c r="O25" i="18"/>
  <c r="N25" i="18"/>
  <c r="I25" i="18"/>
  <c r="G25" i="18"/>
  <c r="AD24" i="18"/>
  <c r="AB24" i="18"/>
  <c r="AA24" i="18"/>
  <c r="AC24" i="18" s="1"/>
  <c r="AE24" i="18" s="1"/>
  <c r="AF24" i="18" s="1"/>
  <c r="AG24" i="18" s="1"/>
  <c r="W24" i="18"/>
  <c r="Q24" i="18"/>
  <c r="P24" i="18"/>
  <c r="R24" i="18" s="1"/>
  <c r="O24" i="18"/>
  <c r="N24" i="18"/>
  <c r="I24" i="18"/>
  <c r="G24" i="18"/>
  <c r="T24" i="18" s="1"/>
  <c r="U24" i="18" s="1"/>
  <c r="V24" i="18" s="1"/>
  <c r="AD23" i="18"/>
  <c r="AC23" i="18"/>
  <c r="AE23" i="18" s="1"/>
  <c r="AB23" i="18"/>
  <c r="AA23" i="18"/>
  <c r="Q23" i="18"/>
  <c r="O23" i="18"/>
  <c r="N23" i="18"/>
  <c r="I23" i="18"/>
  <c r="G23" i="18"/>
  <c r="AD22" i="18"/>
  <c r="AC22" i="18"/>
  <c r="AE22" i="18" s="1"/>
  <c r="AF22" i="18" s="1"/>
  <c r="AG22" i="18" s="1"/>
  <c r="AB22" i="18"/>
  <c r="AA22" i="18"/>
  <c r="Q22" i="18"/>
  <c r="P22" i="18"/>
  <c r="R22" i="18" s="1"/>
  <c r="W22" i="18" s="1"/>
  <c r="O22" i="18"/>
  <c r="N22" i="18"/>
  <c r="J22" i="18" s="1"/>
  <c r="K22" i="18"/>
  <c r="I22" i="18"/>
  <c r="G22" i="18"/>
  <c r="AD21" i="18"/>
  <c r="AC21" i="18"/>
  <c r="AE21" i="18" s="1"/>
  <c r="AB21" i="18"/>
  <c r="AA21" i="18"/>
  <c r="Q21" i="18"/>
  <c r="O21" i="18"/>
  <c r="N21" i="18"/>
  <c r="I21" i="18"/>
  <c r="G21" i="18"/>
  <c r="AD20" i="18"/>
  <c r="AC20" i="18"/>
  <c r="AE20" i="18" s="1"/>
  <c r="AF20" i="18" s="1"/>
  <c r="AG20" i="18" s="1"/>
  <c r="AB20" i="18"/>
  <c r="AA20" i="18"/>
  <c r="Q20" i="18"/>
  <c r="P20" i="18"/>
  <c r="R20" i="18" s="1"/>
  <c r="O20" i="18"/>
  <c r="N20" i="18"/>
  <c r="J20" i="18" s="1"/>
  <c r="K20" i="18"/>
  <c r="I20" i="18"/>
  <c r="G20" i="18"/>
  <c r="AD19" i="18"/>
  <c r="AB19" i="18"/>
  <c r="AA19" i="18"/>
  <c r="AC19" i="18" s="1"/>
  <c r="T19" i="18"/>
  <c r="U19" i="18" s="1"/>
  <c r="V19" i="18" s="1"/>
  <c r="R19" i="18"/>
  <c r="Q19" i="18"/>
  <c r="O19" i="18"/>
  <c r="N19" i="18"/>
  <c r="W19" i="18" s="1"/>
  <c r="K19" i="18"/>
  <c r="I19" i="18"/>
  <c r="P19" i="18" s="1"/>
  <c r="G19" i="18"/>
  <c r="AD18" i="18"/>
  <c r="AC18" i="18"/>
  <c r="AE18" i="18" s="1"/>
  <c r="AF18" i="18" s="1"/>
  <c r="AG18" i="18" s="1"/>
  <c r="AB18" i="18"/>
  <c r="AA18" i="18"/>
  <c r="Q18" i="18"/>
  <c r="P18" i="18"/>
  <c r="R18" i="18" s="1"/>
  <c r="W18" i="18" s="1"/>
  <c r="O18" i="18"/>
  <c r="N18" i="18"/>
  <c r="I18" i="18"/>
  <c r="K18" i="18" s="1"/>
  <c r="G18" i="18"/>
  <c r="AD17" i="18"/>
  <c r="AE17" i="18" s="1"/>
  <c r="AF17" i="18" s="1"/>
  <c r="AG17" i="18" s="1"/>
  <c r="AB17" i="18"/>
  <c r="AA17" i="18"/>
  <c r="AC17" i="18" s="1"/>
  <c r="Q17" i="18"/>
  <c r="O17" i="18"/>
  <c r="N17" i="18"/>
  <c r="K17" i="18"/>
  <c r="J17" i="18"/>
  <c r="I17" i="18"/>
  <c r="P17" i="18" s="1"/>
  <c r="R17" i="18" s="1"/>
  <c r="W17" i="18" s="1"/>
  <c r="G17" i="18"/>
  <c r="AD16" i="18"/>
  <c r="AC16" i="18"/>
  <c r="AE16" i="18" s="1"/>
  <c r="AF16" i="18" s="1"/>
  <c r="AG16" i="18" s="1"/>
  <c r="AB16" i="18"/>
  <c r="AA16" i="18"/>
  <c r="Q16" i="18"/>
  <c r="P16" i="18"/>
  <c r="R16" i="18" s="1"/>
  <c r="W16" i="18" s="1"/>
  <c r="O16" i="18"/>
  <c r="N16" i="18"/>
  <c r="I16" i="18"/>
  <c r="G16" i="18"/>
  <c r="AD15" i="18"/>
  <c r="AB15" i="18"/>
  <c r="AA15" i="18"/>
  <c r="AC15" i="18" s="1"/>
  <c r="AE15" i="18" s="1"/>
  <c r="R15" i="18"/>
  <c r="W15" i="18" s="1"/>
  <c r="Q15" i="18"/>
  <c r="P15" i="18"/>
  <c r="O15" i="18"/>
  <c r="N15" i="18"/>
  <c r="I15" i="18"/>
  <c r="K15" i="18" s="1"/>
  <c r="G15" i="18"/>
  <c r="AD14" i="18"/>
  <c r="AB14" i="18"/>
  <c r="AA14" i="18"/>
  <c r="AC14" i="18" s="1"/>
  <c r="AE14" i="18" s="1"/>
  <c r="Q14" i="18"/>
  <c r="O14" i="18"/>
  <c r="N14" i="18"/>
  <c r="I14" i="18"/>
  <c r="G14" i="18"/>
  <c r="AD13" i="18"/>
  <c r="AB13" i="18"/>
  <c r="AA13" i="18"/>
  <c r="AC13" i="18" s="1"/>
  <c r="AE13" i="18" s="1"/>
  <c r="AF13" i="18" s="1"/>
  <c r="AG13" i="18" s="1"/>
  <c r="Q13" i="18"/>
  <c r="P13" i="18"/>
  <c r="R13" i="18" s="1"/>
  <c r="W13" i="18" s="1"/>
  <c r="O13" i="18"/>
  <c r="N13" i="18"/>
  <c r="I13" i="18"/>
  <c r="G13" i="18"/>
  <c r="AD12" i="18"/>
  <c r="AB12" i="18"/>
  <c r="AA12" i="18"/>
  <c r="AC12" i="18" s="1"/>
  <c r="AE12" i="18" s="1"/>
  <c r="AF12" i="18" s="1"/>
  <c r="AG12" i="18" s="1"/>
  <c r="R12" i="18"/>
  <c r="W12" i="18" s="1"/>
  <c r="Q12" i="18"/>
  <c r="P12" i="18"/>
  <c r="O12" i="18"/>
  <c r="N12" i="18"/>
  <c r="L12" i="18"/>
  <c r="J12" i="18"/>
  <c r="I12" i="18"/>
  <c r="G12" i="18"/>
  <c r="AD11" i="18"/>
  <c r="AB11" i="18"/>
  <c r="AA11" i="18"/>
  <c r="AC11" i="18" s="1"/>
  <c r="AE11" i="18" s="1"/>
  <c r="Q11" i="18"/>
  <c r="P11" i="18"/>
  <c r="R11" i="18" s="1"/>
  <c r="O11" i="18"/>
  <c r="N11" i="18"/>
  <c r="L11" i="18"/>
  <c r="I11" i="18"/>
  <c r="G11" i="18"/>
  <c r="AD10" i="18"/>
  <c r="AB10" i="18"/>
  <c r="AA10" i="18"/>
  <c r="AC10" i="18" s="1"/>
  <c r="AE10" i="18" s="1"/>
  <c r="Q10" i="18"/>
  <c r="O10" i="18"/>
  <c r="N10" i="18"/>
  <c r="L10" i="18"/>
  <c r="I10" i="18"/>
  <c r="G10" i="18"/>
  <c r="AD9" i="18"/>
  <c r="AB9" i="18"/>
  <c r="AA9" i="18"/>
  <c r="AC9" i="18" s="1"/>
  <c r="AE9" i="18" s="1"/>
  <c r="AF9" i="18" s="1"/>
  <c r="AG9" i="18" s="1"/>
  <c r="Q9" i="18"/>
  <c r="P9" i="18"/>
  <c r="R9" i="18" s="1"/>
  <c r="W9" i="18" s="1"/>
  <c r="O9" i="18"/>
  <c r="N9" i="18"/>
  <c r="L9" i="18"/>
  <c r="I9" i="18"/>
  <c r="G9" i="18"/>
  <c r="AD8" i="18"/>
  <c r="AB8" i="18"/>
  <c r="AA8" i="18"/>
  <c r="AC8" i="18" s="1"/>
  <c r="AE8" i="18" s="1"/>
  <c r="Q8" i="18"/>
  <c r="P8" i="18"/>
  <c r="O8" i="18"/>
  <c r="N8" i="18"/>
  <c r="L8" i="18"/>
  <c r="I8" i="18"/>
  <c r="G8" i="18"/>
  <c r="AD7" i="18"/>
  <c r="AE7" i="18" s="1"/>
  <c r="AF7" i="18" s="1"/>
  <c r="AG7" i="18" s="1"/>
  <c r="AC7" i="18"/>
  <c r="AB7" i="18"/>
  <c r="AA7" i="18"/>
  <c r="Q7" i="18"/>
  <c r="P7" i="18"/>
  <c r="R7" i="18" s="1"/>
  <c r="W7" i="18" s="1"/>
  <c r="O7" i="18"/>
  <c r="N7" i="18"/>
  <c r="J7" i="18" s="1"/>
  <c r="L7" i="18"/>
  <c r="I7" i="18"/>
  <c r="G7" i="18"/>
  <c r="AE6" i="18"/>
  <c r="AF6" i="18" s="1"/>
  <c r="AG6" i="18" s="1"/>
  <c r="AD6" i="18"/>
  <c r="AC6" i="18"/>
  <c r="AB6" i="18"/>
  <c r="AA6" i="18"/>
  <c r="Q6" i="18"/>
  <c r="P6" i="18"/>
  <c r="R6" i="18" s="1"/>
  <c r="W6" i="18" s="1"/>
  <c r="O6" i="18"/>
  <c r="N6" i="18"/>
  <c r="L6" i="18"/>
  <c r="I6" i="18"/>
  <c r="G6" i="18"/>
  <c r="AD5" i="18"/>
  <c r="AC5" i="18"/>
  <c r="AE5" i="18" s="1"/>
  <c r="AF5" i="18" s="1"/>
  <c r="AG5" i="18" s="1"/>
  <c r="AB5" i="18"/>
  <c r="AA5" i="18"/>
  <c r="Q5" i="18"/>
  <c r="P5" i="18"/>
  <c r="R5" i="18" s="1"/>
  <c r="W5" i="18" s="1"/>
  <c r="O5" i="18"/>
  <c r="N5" i="18"/>
  <c r="L5" i="18"/>
  <c r="J5" i="18"/>
  <c r="I5" i="18"/>
  <c r="G5" i="18"/>
  <c r="AD4" i="18"/>
  <c r="AB4" i="18"/>
  <c r="AA4" i="18"/>
  <c r="AC4" i="18" s="1"/>
  <c r="AE4" i="18" s="1"/>
  <c r="Q4" i="18"/>
  <c r="O4" i="18"/>
  <c r="N4" i="18"/>
  <c r="L4" i="18"/>
  <c r="I4" i="18"/>
  <c r="G4" i="18"/>
  <c r="AD3" i="18"/>
  <c r="AE3" i="18" s="1"/>
  <c r="AF3" i="18" s="1"/>
  <c r="AG3" i="18" s="1"/>
  <c r="AC3" i="18"/>
  <c r="AB3" i="18"/>
  <c r="AA3" i="18"/>
  <c r="Q3" i="18"/>
  <c r="P3" i="18"/>
  <c r="R3" i="18" s="1"/>
  <c r="W3" i="18" s="1"/>
  <c r="O3" i="18"/>
  <c r="N3" i="18"/>
  <c r="J3" i="18" s="1"/>
  <c r="L3" i="18"/>
  <c r="I3" i="18"/>
  <c r="G3" i="18"/>
  <c r="AD2" i="18"/>
  <c r="AB2" i="18"/>
  <c r="AA2" i="18"/>
  <c r="AC2" i="18" s="1"/>
  <c r="AE2" i="18" s="1"/>
  <c r="AF2" i="18" s="1"/>
  <c r="AG2" i="18" s="1"/>
  <c r="T2" i="18"/>
  <c r="U2" i="18" s="1"/>
  <c r="V2" i="18" s="1"/>
  <c r="R2" i="18"/>
  <c r="W2" i="18" s="1"/>
  <c r="Q2" i="18"/>
  <c r="O2" i="18"/>
  <c r="N2" i="18"/>
  <c r="L2" i="18"/>
  <c r="I2" i="18"/>
  <c r="P2" i="18" s="1"/>
  <c r="G2" i="18"/>
  <c r="N17" i="16"/>
  <c r="AG64" i="3" l="1"/>
  <c r="AH64" i="3" s="1"/>
  <c r="AG49" i="3"/>
  <c r="AH49" i="3" s="1"/>
  <c r="T32" i="3"/>
  <c r="U32" i="3" s="1"/>
  <c r="W32" i="3" s="1"/>
  <c r="T36" i="3"/>
  <c r="U36" i="3" s="1"/>
  <c r="W36" i="3" s="1"/>
  <c r="T46" i="3"/>
  <c r="U46" i="3" s="1"/>
  <c r="W46" i="3" s="1"/>
  <c r="T30" i="3"/>
  <c r="U30" i="3" s="1"/>
  <c r="W30" i="3" s="1"/>
  <c r="AG42" i="3"/>
  <c r="AH42" i="3" s="1"/>
  <c r="AG27" i="3"/>
  <c r="AH27" i="3" s="1"/>
  <c r="AG55" i="3"/>
  <c r="AH55" i="3" s="1"/>
  <c r="T48" i="3"/>
  <c r="U48" i="3" s="1"/>
  <c r="W48" i="3" s="1"/>
  <c r="T28" i="3"/>
  <c r="U28" i="3" s="1"/>
  <c r="W28" i="3" s="1"/>
  <c r="T54" i="3"/>
  <c r="U54" i="3" s="1"/>
  <c r="W54" i="3" s="1"/>
  <c r="T35" i="3"/>
  <c r="U35" i="3" s="1"/>
  <c r="W35" i="3" s="1"/>
  <c r="T39" i="3"/>
  <c r="U39" i="3" s="1"/>
  <c r="W39" i="3" s="1"/>
  <c r="T61" i="3"/>
  <c r="U61" i="3" s="1"/>
  <c r="W61" i="3" s="1"/>
  <c r="T64" i="3"/>
  <c r="U64" i="3" s="1"/>
  <c r="W64" i="3" s="1"/>
  <c r="T43" i="3"/>
  <c r="U43" i="3" s="1"/>
  <c r="W43" i="3" s="1"/>
  <c r="T33" i="3"/>
  <c r="U33" i="3" s="1"/>
  <c r="W33" i="3" s="1"/>
  <c r="T57" i="3"/>
  <c r="U57" i="3" s="1"/>
  <c r="W57" i="3" s="1"/>
  <c r="T34" i="3"/>
  <c r="U34" i="3" s="1"/>
  <c r="W34" i="3" s="1"/>
  <c r="T26" i="3"/>
  <c r="U26" i="3" s="1"/>
  <c r="W26" i="3" s="1"/>
  <c r="T62" i="3"/>
  <c r="U62" i="3" s="1"/>
  <c r="W62" i="3" s="1"/>
  <c r="T56" i="3"/>
  <c r="U56" i="3" s="1"/>
  <c r="W56" i="3" s="1"/>
  <c r="AG31" i="3"/>
  <c r="AH31" i="3" s="1"/>
  <c r="T49" i="3"/>
  <c r="U49" i="3" s="1"/>
  <c r="W49" i="3" s="1"/>
  <c r="T65" i="3"/>
  <c r="U65" i="3" s="1"/>
  <c r="W65" i="3" s="1"/>
  <c r="T52" i="3"/>
  <c r="U52" i="3" s="1"/>
  <c r="W52" i="3" s="1"/>
  <c r="AG53" i="3"/>
  <c r="AH53" i="3" s="1"/>
  <c r="AG62" i="3"/>
  <c r="AH62" i="3" s="1"/>
  <c r="T58" i="3"/>
  <c r="U58" i="3" s="1"/>
  <c r="W58" i="3" s="1"/>
  <c r="AG66" i="3"/>
  <c r="AH66" i="3" s="1"/>
  <c r="T66" i="3"/>
  <c r="U66" i="3" s="1"/>
  <c r="W66" i="3" s="1"/>
  <c r="T55" i="3"/>
  <c r="U55" i="3" s="1"/>
  <c r="W55" i="3" s="1"/>
  <c r="T53" i="3"/>
  <c r="U53" i="3" s="1"/>
  <c r="W53" i="3" s="1"/>
  <c r="T51" i="3"/>
  <c r="U51" i="3" s="1"/>
  <c r="W51" i="3" s="1"/>
  <c r="AG25" i="3"/>
  <c r="AH25" i="3" s="1"/>
  <c r="T42" i="3"/>
  <c r="U42" i="3" s="1"/>
  <c r="W42" i="3" s="1"/>
  <c r="AG40" i="3"/>
  <c r="AH40" i="3" s="1"/>
  <c r="AG29" i="3"/>
  <c r="AH29" i="3" s="1"/>
  <c r="AG36" i="3"/>
  <c r="AH36" i="3" s="1"/>
  <c r="T31" i="3"/>
  <c r="U31" i="3" s="1"/>
  <c r="W31" i="3" s="1"/>
  <c r="T29" i="3"/>
  <c r="U29" i="3" s="1"/>
  <c r="W29" i="3" s="1"/>
  <c r="T44" i="3"/>
  <c r="U44" i="3" s="1"/>
  <c r="W44" i="3" s="1"/>
  <c r="AG38" i="3"/>
  <c r="AH38" i="3" s="1"/>
  <c r="T27" i="3"/>
  <c r="U27" i="3" s="1"/>
  <c r="W27" i="3" s="1"/>
  <c r="AG44" i="3"/>
  <c r="AH44" i="3" s="1"/>
  <c r="T40" i="3"/>
  <c r="U40" i="3" s="1"/>
  <c r="W40" i="3" s="1"/>
  <c r="AG33" i="3"/>
  <c r="AH33" i="3" s="1"/>
  <c r="T38" i="3"/>
  <c r="U38" i="3" s="1"/>
  <c r="W38" i="3" s="1"/>
  <c r="T25" i="3"/>
  <c r="U25" i="3" s="1"/>
  <c r="W25" i="3" s="1"/>
  <c r="T5" i="18"/>
  <c r="U5" i="18" s="1"/>
  <c r="V5" i="18" s="1"/>
  <c r="W11" i="18"/>
  <c r="T11" i="18"/>
  <c r="U11" i="18" s="1"/>
  <c r="V11" i="18" s="1"/>
  <c r="AF33" i="18"/>
  <c r="AG33" i="18" s="1"/>
  <c r="T18" i="18"/>
  <c r="U18" i="18" s="1"/>
  <c r="V18" i="18" s="1"/>
  <c r="AF10" i="18"/>
  <c r="AG10" i="18" s="1"/>
  <c r="T3" i="18"/>
  <c r="U3" i="18" s="1"/>
  <c r="V3" i="18" s="1"/>
  <c r="T21" i="18"/>
  <c r="U21" i="18" s="1"/>
  <c r="V21" i="18" s="1"/>
  <c r="T16" i="18"/>
  <c r="U16" i="18" s="1"/>
  <c r="V16" i="18" s="1"/>
  <c r="K13" i="18"/>
  <c r="T13" i="18"/>
  <c r="U13" i="18" s="1"/>
  <c r="V13" i="18" s="1"/>
  <c r="J16" i="18"/>
  <c r="T28" i="18"/>
  <c r="U28" i="18" s="1"/>
  <c r="V28" i="18" s="1"/>
  <c r="R31" i="18"/>
  <c r="W31" i="18" s="1"/>
  <c r="AF32" i="18"/>
  <c r="AG32" i="18" s="1"/>
  <c r="T30" i="18"/>
  <c r="U30" i="18" s="1"/>
  <c r="V30" i="18" s="1"/>
  <c r="R8" i="18"/>
  <c r="W8" i="18" s="1"/>
  <c r="J13" i="18"/>
  <c r="K16" i="18"/>
  <c r="P14" i="18"/>
  <c r="R14" i="18" s="1"/>
  <c r="W14" i="18" s="1"/>
  <c r="K14" i="18"/>
  <c r="J14" i="18"/>
  <c r="T7" i="18"/>
  <c r="U7" i="18" s="1"/>
  <c r="V7" i="18" s="1"/>
  <c r="AF25" i="18"/>
  <c r="AG25" i="18" s="1"/>
  <c r="J19" i="18"/>
  <c r="P34" i="18"/>
  <c r="R34" i="18" s="1"/>
  <c r="W34" i="18" s="1"/>
  <c r="P21" i="18"/>
  <c r="R21" i="18" s="1"/>
  <c r="W21" i="18" s="1"/>
  <c r="K21" i="18"/>
  <c r="J21" i="18"/>
  <c r="T33" i="18"/>
  <c r="U33" i="18" s="1"/>
  <c r="V33" i="18" s="1"/>
  <c r="P33" i="18"/>
  <c r="R33" i="18" s="1"/>
  <c r="W33" i="18" s="1"/>
  <c r="J33" i="18"/>
  <c r="T12" i="18"/>
  <c r="U12" i="18" s="1"/>
  <c r="V12" i="18" s="1"/>
  <c r="AF8" i="18"/>
  <c r="AG8" i="18" s="1"/>
  <c r="AF11" i="18"/>
  <c r="AG11" i="18" s="1"/>
  <c r="P4" i="18"/>
  <c r="R4" i="18" s="1"/>
  <c r="W4" i="18" s="1"/>
  <c r="J4" i="18"/>
  <c r="T15" i="18"/>
  <c r="U15" i="18" s="1"/>
  <c r="V15" i="18" s="1"/>
  <c r="W20" i="18"/>
  <c r="T31" i="18"/>
  <c r="U31" i="18" s="1"/>
  <c r="V31" i="18" s="1"/>
  <c r="J27" i="18"/>
  <c r="T20" i="18"/>
  <c r="U20" i="18" s="1"/>
  <c r="V20" i="18" s="1"/>
  <c r="T22" i="18"/>
  <c r="U22" i="18" s="1"/>
  <c r="V22" i="18" s="1"/>
  <c r="J23" i="18"/>
  <c r="T27" i="18"/>
  <c r="U27" i="18" s="1"/>
  <c r="V27" i="18" s="1"/>
  <c r="P32" i="18"/>
  <c r="R32" i="18" s="1"/>
  <c r="W32" i="18" s="1"/>
  <c r="T32" i="18"/>
  <c r="U32" i="18" s="1"/>
  <c r="V32" i="18" s="1"/>
  <c r="J6" i="18"/>
  <c r="K23" i="18"/>
  <c r="J32" i="18"/>
  <c r="T9" i="18"/>
  <c r="U9" i="18" s="1"/>
  <c r="V9" i="18" s="1"/>
  <c r="J9" i="18"/>
  <c r="T6" i="18"/>
  <c r="U6" i="18" s="1"/>
  <c r="V6" i="18" s="1"/>
  <c r="J31" i="18"/>
  <c r="AF15" i="18"/>
  <c r="AG15" i="18" s="1"/>
  <c r="J29" i="18"/>
  <c r="P10" i="18"/>
  <c r="R10" i="18" s="1"/>
  <c r="W10" i="18" s="1"/>
  <c r="J10" i="18"/>
  <c r="AE19" i="18"/>
  <c r="AF19" i="18" s="1"/>
  <c r="AG19" i="18" s="1"/>
  <c r="P23" i="18"/>
  <c r="R23" i="18" s="1"/>
  <c r="W23" i="18" s="1"/>
  <c r="T26" i="18"/>
  <c r="U26" i="18" s="1"/>
  <c r="V26" i="18" s="1"/>
  <c r="J18" i="18"/>
  <c r="J25" i="18"/>
  <c r="AF30" i="18"/>
  <c r="AG30" i="18" s="1"/>
  <c r="J2" i="18"/>
  <c r="T29" i="18"/>
  <c r="U29" i="18" s="1"/>
  <c r="V29" i="18" s="1"/>
  <c r="J15" i="18"/>
  <c r="T17" i="18"/>
  <c r="U17" i="18" s="1"/>
  <c r="V17" i="18" s="1"/>
  <c r="J26" i="18"/>
  <c r="J30" i="18"/>
  <c r="T25" i="18"/>
  <c r="U25" i="18" s="1"/>
  <c r="V25" i="18" s="1"/>
  <c r="P25" i="18"/>
  <c r="R25" i="18" s="1"/>
  <c r="W25" i="18" s="1"/>
  <c r="J11" i="18"/>
  <c r="T8" i="18"/>
  <c r="U8" i="18" s="1"/>
  <c r="V8" i="18" s="1"/>
  <c r="J8" i="18"/>
  <c r="J24" i="18"/>
  <c r="Q2" i="16"/>
  <c r="AE2" i="16"/>
  <c r="AE8" i="16"/>
  <c r="AE7" i="16"/>
  <c r="AD21" i="16"/>
  <c r="AC21" i="16"/>
  <c r="AE21" i="16" s="1"/>
  <c r="AB21" i="16"/>
  <c r="AA21" i="16"/>
  <c r="AD20" i="16"/>
  <c r="AC20" i="16"/>
  <c r="AE20" i="16" s="1"/>
  <c r="AB20" i="16"/>
  <c r="AA20" i="16"/>
  <c r="AD19" i="16"/>
  <c r="AB19" i="16"/>
  <c r="AA19" i="16"/>
  <c r="AC19" i="16" s="1"/>
  <c r="AE19" i="16" s="1"/>
  <c r="AD18" i="16"/>
  <c r="AB18" i="16"/>
  <c r="AA18" i="16"/>
  <c r="AC18" i="16" s="1"/>
  <c r="AE18" i="16" s="1"/>
  <c r="AD17" i="16"/>
  <c r="AB17" i="16"/>
  <c r="AA17" i="16"/>
  <c r="AC17" i="16" s="1"/>
  <c r="AE17" i="16" s="1"/>
  <c r="AE16" i="16"/>
  <c r="AD16" i="16"/>
  <c r="AB16" i="16"/>
  <c r="AA16" i="16"/>
  <c r="AC16" i="16" s="1"/>
  <c r="AD15" i="16"/>
  <c r="AB15" i="16"/>
  <c r="AA15" i="16"/>
  <c r="AC15" i="16" s="1"/>
  <c r="AE15" i="16" s="1"/>
  <c r="AE14" i="16"/>
  <c r="AD14" i="16"/>
  <c r="AC14" i="16"/>
  <c r="AB14" i="16"/>
  <c r="AA14" i="16"/>
  <c r="AD13" i="16"/>
  <c r="AC13" i="16"/>
  <c r="AE13" i="16" s="1"/>
  <c r="AB13" i="16"/>
  <c r="AA13" i="16"/>
  <c r="AD12" i="16"/>
  <c r="AB12" i="16"/>
  <c r="AA12" i="16"/>
  <c r="AC12" i="16" s="1"/>
  <c r="AE12" i="16" s="1"/>
  <c r="AD11" i="16"/>
  <c r="AB11" i="16"/>
  <c r="AA11" i="16"/>
  <c r="AC11" i="16" s="1"/>
  <c r="AE11" i="16" s="1"/>
  <c r="AD10" i="16"/>
  <c r="AB10" i="16"/>
  <c r="AA10" i="16"/>
  <c r="AC10" i="16" s="1"/>
  <c r="AE10" i="16" s="1"/>
  <c r="AD9" i="16"/>
  <c r="AB9" i="16"/>
  <c r="AA9" i="16"/>
  <c r="AC9" i="16" s="1"/>
  <c r="AE9" i="16" s="1"/>
  <c r="AD8" i="16"/>
  <c r="AB8" i="16"/>
  <c r="AA8" i="16"/>
  <c r="AC8" i="16" s="1"/>
  <c r="AD7" i="16"/>
  <c r="AC7" i="16"/>
  <c r="AB7" i="16"/>
  <c r="AA7" i="16"/>
  <c r="AD6" i="16"/>
  <c r="AB6" i="16"/>
  <c r="AA6" i="16"/>
  <c r="AC6" i="16" s="1"/>
  <c r="AD5" i="16"/>
  <c r="AC5" i="16"/>
  <c r="AE5" i="16" s="1"/>
  <c r="AB5" i="16"/>
  <c r="AA5" i="16"/>
  <c r="AD4" i="16"/>
  <c r="AC4" i="16"/>
  <c r="AE4" i="16" s="1"/>
  <c r="AB4" i="16"/>
  <c r="AA4" i="16"/>
  <c r="AD3" i="16"/>
  <c r="AE3" i="16" s="1"/>
  <c r="AC3" i="16"/>
  <c r="AB3" i="16"/>
  <c r="AA3" i="16"/>
  <c r="AD2" i="16"/>
  <c r="AB2" i="16"/>
  <c r="AA2" i="16"/>
  <c r="AC2" i="16" s="1"/>
  <c r="AD56" i="9"/>
  <c r="AB56" i="9"/>
  <c r="AA56" i="9"/>
  <c r="AC56" i="9" s="1"/>
  <c r="AE56" i="9" s="1"/>
  <c r="AE55" i="9"/>
  <c r="AD55" i="9"/>
  <c r="AC55" i="9"/>
  <c r="AB55" i="9"/>
  <c r="AA55" i="9"/>
  <c r="AD54" i="9"/>
  <c r="AB54" i="9"/>
  <c r="AA54" i="9"/>
  <c r="AC54" i="9" s="1"/>
  <c r="AE54" i="9" s="1"/>
  <c r="AD53" i="9"/>
  <c r="AB53" i="9"/>
  <c r="AA53" i="9"/>
  <c r="AC53" i="9" s="1"/>
  <c r="AE53" i="9" s="1"/>
  <c r="AD52" i="9"/>
  <c r="AB52" i="9"/>
  <c r="AA52" i="9"/>
  <c r="AC52" i="9" s="1"/>
  <c r="AE52" i="9" s="1"/>
  <c r="AD51" i="9"/>
  <c r="AB51" i="9"/>
  <c r="AA51" i="9"/>
  <c r="AC51" i="9" s="1"/>
  <c r="AE51" i="9" s="1"/>
  <c r="AD50" i="9"/>
  <c r="AB50" i="9"/>
  <c r="AA50" i="9"/>
  <c r="AC50" i="9" s="1"/>
  <c r="AE50" i="9" s="1"/>
  <c r="AD49" i="9"/>
  <c r="AB49" i="9"/>
  <c r="AA49" i="9"/>
  <c r="AC49" i="9" s="1"/>
  <c r="AE49" i="9" s="1"/>
  <c r="AD48" i="9"/>
  <c r="AE48" i="9" s="1"/>
  <c r="AB48" i="9"/>
  <c r="AA48" i="9"/>
  <c r="AC48" i="9" s="1"/>
  <c r="AD47" i="9"/>
  <c r="AB47" i="9"/>
  <c r="AA47" i="9"/>
  <c r="AC47" i="9" s="1"/>
  <c r="AE47" i="9" s="1"/>
  <c r="AD46" i="9"/>
  <c r="AC46" i="9"/>
  <c r="AE46" i="9" s="1"/>
  <c r="AB46" i="9"/>
  <c r="AA46" i="9"/>
  <c r="AD45" i="9"/>
  <c r="AB45" i="9"/>
  <c r="AA45" i="9"/>
  <c r="AC45" i="9" s="1"/>
  <c r="AE45" i="9" s="1"/>
  <c r="AD44" i="9"/>
  <c r="AC44" i="9"/>
  <c r="AE44" i="9" s="1"/>
  <c r="AB44" i="9"/>
  <c r="AA44" i="9"/>
  <c r="AD43" i="9"/>
  <c r="AB43" i="9"/>
  <c r="AA43" i="9"/>
  <c r="AC43" i="9" s="1"/>
  <c r="AE43" i="9" s="1"/>
  <c r="AD42" i="9"/>
  <c r="AB42" i="9"/>
  <c r="AA42" i="9"/>
  <c r="AC42" i="9" s="1"/>
  <c r="AE42" i="9" s="1"/>
  <c r="AD41" i="9"/>
  <c r="AB41" i="9"/>
  <c r="AA41" i="9"/>
  <c r="AC41" i="9" s="1"/>
  <c r="AE41" i="9" s="1"/>
  <c r="AD40" i="9"/>
  <c r="AB40" i="9"/>
  <c r="AA40" i="9"/>
  <c r="AC40" i="9" s="1"/>
  <c r="AE40" i="9" s="1"/>
  <c r="AD39" i="9"/>
  <c r="AE39" i="9" s="1"/>
  <c r="AC39" i="9"/>
  <c r="AB39" i="9"/>
  <c r="AA39" i="9"/>
  <c r="AD38" i="9"/>
  <c r="AB38" i="9"/>
  <c r="AA38" i="9"/>
  <c r="AC38" i="9" s="1"/>
  <c r="AE38" i="9" s="1"/>
  <c r="AD37" i="9"/>
  <c r="AC37" i="9"/>
  <c r="AE37" i="9" s="1"/>
  <c r="AB37" i="9"/>
  <c r="AA37" i="9"/>
  <c r="AD36" i="9"/>
  <c r="AB36" i="9"/>
  <c r="AA36" i="9"/>
  <c r="AC36" i="9" s="1"/>
  <c r="AE36" i="9" s="1"/>
  <c r="AD35" i="9"/>
  <c r="AC35" i="9"/>
  <c r="AE35" i="9" s="1"/>
  <c r="AB35" i="9"/>
  <c r="AA35" i="9"/>
  <c r="AD34" i="9"/>
  <c r="AB34" i="9"/>
  <c r="AA34" i="9"/>
  <c r="AC34" i="9" s="1"/>
  <c r="AE34" i="9" s="1"/>
  <c r="AD33" i="9"/>
  <c r="AB33" i="9"/>
  <c r="AA33" i="9"/>
  <c r="AC33" i="9" s="1"/>
  <c r="AE33" i="9" s="1"/>
  <c r="AD32" i="9"/>
  <c r="AB32" i="9"/>
  <c r="AA32" i="9"/>
  <c r="AC32" i="9" s="1"/>
  <c r="AE32" i="9" s="1"/>
  <c r="AD31" i="9"/>
  <c r="AB31" i="9"/>
  <c r="AA31" i="9"/>
  <c r="AC31" i="9" s="1"/>
  <c r="AE31" i="9" s="1"/>
  <c r="AD30" i="9"/>
  <c r="AC30" i="9"/>
  <c r="AE30" i="9" s="1"/>
  <c r="AB30" i="9"/>
  <c r="AA30" i="9"/>
  <c r="AD29" i="9"/>
  <c r="AB29" i="9"/>
  <c r="AA29" i="9"/>
  <c r="AC29" i="9" s="1"/>
  <c r="AE29" i="9" s="1"/>
  <c r="AD28" i="9"/>
  <c r="AB28" i="9"/>
  <c r="AA28" i="9"/>
  <c r="AC28" i="9" s="1"/>
  <c r="AE28" i="9" s="1"/>
  <c r="AD27" i="9"/>
  <c r="AB27" i="9"/>
  <c r="AA27" i="9"/>
  <c r="AC27" i="9" s="1"/>
  <c r="AE27" i="9" s="1"/>
  <c r="AD26" i="9"/>
  <c r="AB26" i="9"/>
  <c r="AA26" i="9"/>
  <c r="AC26" i="9" s="1"/>
  <c r="AE26" i="9" s="1"/>
  <c r="AE25" i="9"/>
  <c r="AD25" i="9"/>
  <c r="AB25" i="9"/>
  <c r="AA25" i="9"/>
  <c r="AC25" i="9" s="1"/>
  <c r="AD24" i="9"/>
  <c r="AB24" i="9"/>
  <c r="AA24" i="9"/>
  <c r="AC24" i="9" s="1"/>
  <c r="AE24" i="9" s="1"/>
  <c r="AD23" i="9"/>
  <c r="AC23" i="9"/>
  <c r="AE23" i="9" s="1"/>
  <c r="AB23" i="9"/>
  <c r="AA23" i="9"/>
  <c r="AD22" i="9"/>
  <c r="AB22" i="9"/>
  <c r="AA22" i="9"/>
  <c r="AC22" i="9" s="1"/>
  <c r="AE22" i="9" s="1"/>
  <c r="AD21" i="9"/>
  <c r="AB21" i="9"/>
  <c r="AA21" i="9"/>
  <c r="AC21" i="9" s="1"/>
  <c r="AE21" i="9" s="1"/>
  <c r="AD20" i="9"/>
  <c r="AB20" i="9"/>
  <c r="AA20" i="9"/>
  <c r="AC20" i="9" s="1"/>
  <c r="AE20" i="9" s="1"/>
  <c r="AD19" i="9"/>
  <c r="AB19" i="9"/>
  <c r="AA19" i="9"/>
  <c r="AC19" i="9" s="1"/>
  <c r="AE19" i="9" s="1"/>
  <c r="AD18" i="9"/>
  <c r="AB18" i="9"/>
  <c r="AA18" i="9"/>
  <c r="AC18" i="9" s="1"/>
  <c r="AE18" i="9" s="1"/>
  <c r="AD17" i="9"/>
  <c r="AB17" i="9"/>
  <c r="AA17" i="9"/>
  <c r="AC17" i="9" s="1"/>
  <c r="AE17" i="9" s="1"/>
  <c r="AD16" i="9"/>
  <c r="AB16" i="9"/>
  <c r="AA16" i="9"/>
  <c r="AC16" i="9" s="1"/>
  <c r="AE16" i="9" s="1"/>
  <c r="AD15" i="9"/>
  <c r="AB15" i="9"/>
  <c r="AA15" i="9"/>
  <c r="AC15" i="9" s="1"/>
  <c r="AE15" i="9" s="1"/>
  <c r="AD14" i="9"/>
  <c r="AE14" i="9" s="1"/>
  <c r="AC14" i="9"/>
  <c r="AB14" i="9"/>
  <c r="AA14" i="9"/>
  <c r="AD13" i="9"/>
  <c r="AB13" i="9"/>
  <c r="AA13" i="9"/>
  <c r="AC13" i="9" s="1"/>
  <c r="AE13" i="9" s="1"/>
  <c r="AD12" i="9"/>
  <c r="AB12" i="9"/>
  <c r="AA12" i="9"/>
  <c r="AC12" i="9" s="1"/>
  <c r="AE12" i="9" s="1"/>
  <c r="AD11" i="9"/>
  <c r="AB11" i="9"/>
  <c r="AA11" i="9"/>
  <c r="AC11" i="9" s="1"/>
  <c r="AE11" i="9" s="1"/>
  <c r="AD10" i="9"/>
  <c r="AC10" i="9"/>
  <c r="AE10" i="9" s="1"/>
  <c r="AB10" i="9"/>
  <c r="AA10" i="9"/>
  <c r="AD9" i="9"/>
  <c r="AB9" i="9"/>
  <c r="AA9" i="9"/>
  <c r="AC9" i="9" s="1"/>
  <c r="AE9" i="9" s="1"/>
  <c r="AD8" i="9"/>
  <c r="AB8" i="9"/>
  <c r="AA8" i="9"/>
  <c r="AC8" i="9" s="1"/>
  <c r="AE8" i="9" s="1"/>
  <c r="AD7" i="9"/>
  <c r="AE7" i="9" s="1"/>
  <c r="AC7" i="9"/>
  <c r="AB7" i="9"/>
  <c r="AA7" i="9"/>
  <c r="AD6" i="9"/>
  <c r="AB6" i="9"/>
  <c r="AA6" i="9"/>
  <c r="AC6" i="9" s="1"/>
  <c r="AE6" i="9" s="1"/>
  <c r="AD5" i="9"/>
  <c r="AB5" i="9"/>
  <c r="AA5" i="9"/>
  <c r="AC5" i="9" s="1"/>
  <c r="AE5" i="9" s="1"/>
  <c r="AD4" i="9"/>
  <c r="AB4" i="9"/>
  <c r="AA4" i="9"/>
  <c r="AC4" i="9" s="1"/>
  <c r="AE4" i="9" s="1"/>
  <c r="AD3" i="9"/>
  <c r="AC3" i="9"/>
  <c r="AB3" i="9"/>
  <c r="AA3" i="9"/>
  <c r="AD2" i="9"/>
  <c r="AB2" i="9"/>
  <c r="AA2" i="9"/>
  <c r="AC2" i="9" s="1"/>
  <c r="AE2" i="9" s="1"/>
  <c r="AD37" i="14"/>
  <c r="AB37" i="14"/>
  <c r="AA37" i="14"/>
  <c r="AC37" i="14" s="1"/>
  <c r="AD36" i="14"/>
  <c r="AB36" i="14"/>
  <c r="AA36" i="14"/>
  <c r="AC36" i="14" s="1"/>
  <c r="AD35" i="14"/>
  <c r="AB35" i="14"/>
  <c r="AA35" i="14"/>
  <c r="AC35" i="14" s="1"/>
  <c r="AD34" i="14"/>
  <c r="AB34" i="14"/>
  <c r="AA34" i="14"/>
  <c r="AC34" i="14" s="1"/>
  <c r="AD33" i="14"/>
  <c r="AB33" i="14"/>
  <c r="AA33" i="14"/>
  <c r="AC33" i="14" s="1"/>
  <c r="AD32" i="14"/>
  <c r="AB32" i="14"/>
  <c r="AA32" i="14"/>
  <c r="AC32" i="14" s="1"/>
  <c r="AD31" i="14"/>
  <c r="AB31" i="14"/>
  <c r="AA31" i="14"/>
  <c r="AC31" i="14" s="1"/>
  <c r="AD30" i="14"/>
  <c r="AB30" i="14"/>
  <c r="AA30" i="14"/>
  <c r="AC30" i="14" s="1"/>
  <c r="AD29" i="14"/>
  <c r="AB29" i="14"/>
  <c r="AA29" i="14"/>
  <c r="AC29" i="14" s="1"/>
  <c r="AD28" i="14"/>
  <c r="AB28" i="14"/>
  <c r="AA28" i="14"/>
  <c r="AC28" i="14" s="1"/>
  <c r="AD27" i="14"/>
  <c r="AB27" i="14"/>
  <c r="AA27" i="14"/>
  <c r="AC27" i="14" s="1"/>
  <c r="AD26" i="14"/>
  <c r="AB26" i="14"/>
  <c r="AA26" i="14"/>
  <c r="AC26" i="14" s="1"/>
  <c r="AD25" i="14"/>
  <c r="AB25" i="14"/>
  <c r="AA25" i="14"/>
  <c r="AC25" i="14" s="1"/>
  <c r="AD24" i="14"/>
  <c r="AB24" i="14"/>
  <c r="AA24" i="14"/>
  <c r="AC24" i="14" s="1"/>
  <c r="AD23" i="14"/>
  <c r="AB23" i="14"/>
  <c r="AA23" i="14"/>
  <c r="AC23" i="14" s="1"/>
  <c r="AD22" i="14"/>
  <c r="AB22" i="14"/>
  <c r="AA22" i="14"/>
  <c r="AC22" i="14" s="1"/>
  <c r="AD21" i="14"/>
  <c r="AB21" i="14"/>
  <c r="AA21" i="14"/>
  <c r="AC21" i="14" s="1"/>
  <c r="AD20" i="14"/>
  <c r="AB20" i="14"/>
  <c r="AA20" i="14"/>
  <c r="AC20" i="14" s="1"/>
  <c r="AD19" i="14"/>
  <c r="AB19" i="14"/>
  <c r="AA19" i="14"/>
  <c r="AC19" i="14" s="1"/>
  <c r="AD18" i="14"/>
  <c r="AB18" i="14"/>
  <c r="AA18" i="14"/>
  <c r="AC18" i="14" s="1"/>
  <c r="AD17" i="14"/>
  <c r="AB17" i="14"/>
  <c r="AA17" i="14"/>
  <c r="AC17" i="14" s="1"/>
  <c r="AD16" i="14"/>
  <c r="AB16" i="14"/>
  <c r="AA16" i="14"/>
  <c r="AC16" i="14" s="1"/>
  <c r="AD15" i="14"/>
  <c r="AB15" i="14"/>
  <c r="AA15" i="14"/>
  <c r="AC15" i="14" s="1"/>
  <c r="AD14" i="14"/>
  <c r="AB14" i="14"/>
  <c r="AA14" i="14"/>
  <c r="AC14" i="14" s="1"/>
  <c r="AD13" i="14"/>
  <c r="AB13" i="14"/>
  <c r="AA13" i="14"/>
  <c r="AC13" i="14" s="1"/>
  <c r="AD12" i="14"/>
  <c r="AB12" i="14"/>
  <c r="AA12" i="14"/>
  <c r="AC12" i="14" s="1"/>
  <c r="AD11" i="14"/>
  <c r="AB11" i="14"/>
  <c r="AA11" i="14"/>
  <c r="AC11" i="14" s="1"/>
  <c r="AD10" i="14"/>
  <c r="AB10" i="14"/>
  <c r="AA10" i="14"/>
  <c r="AC10" i="14" s="1"/>
  <c r="AD9" i="14"/>
  <c r="AB9" i="14"/>
  <c r="AA9" i="14"/>
  <c r="AC9" i="14" s="1"/>
  <c r="AD8" i="14"/>
  <c r="AB8" i="14"/>
  <c r="AA8" i="14"/>
  <c r="AC8" i="14" s="1"/>
  <c r="AD7" i="14"/>
  <c r="AB7" i="14"/>
  <c r="AA7" i="14"/>
  <c r="AC7" i="14" s="1"/>
  <c r="AD6" i="14"/>
  <c r="AB6" i="14"/>
  <c r="AA6" i="14"/>
  <c r="AC6" i="14" s="1"/>
  <c r="AD5" i="14"/>
  <c r="AB5" i="14"/>
  <c r="AA5" i="14"/>
  <c r="AC5" i="14" s="1"/>
  <c r="AD4" i="14"/>
  <c r="AB4" i="14"/>
  <c r="AA4" i="14"/>
  <c r="AC4" i="14" s="1"/>
  <c r="AD3" i="14"/>
  <c r="AB3" i="14"/>
  <c r="AA3" i="14"/>
  <c r="AC3" i="14" s="1"/>
  <c r="AD2" i="14"/>
  <c r="AB2" i="14"/>
  <c r="AA2" i="14"/>
  <c r="AC2" i="14" s="1"/>
  <c r="AA90" i="6"/>
  <c r="AC90" i="6" s="1"/>
  <c r="AB90" i="6"/>
  <c r="AD90" i="6"/>
  <c r="AA91" i="6"/>
  <c r="AB91" i="6"/>
  <c r="AC91" i="6"/>
  <c r="AE91" i="6" s="1"/>
  <c r="AD91" i="6"/>
  <c r="AA92" i="6"/>
  <c r="AC92" i="6" s="1"/>
  <c r="AB92" i="6"/>
  <c r="AD92" i="6"/>
  <c r="AA93" i="6"/>
  <c r="AC93" i="6" s="1"/>
  <c r="AE93" i="6" s="1"/>
  <c r="AB93" i="6"/>
  <c r="AD93" i="6"/>
  <c r="AA94" i="6"/>
  <c r="AC94" i="6" s="1"/>
  <c r="AB94" i="6"/>
  <c r="AD94" i="6"/>
  <c r="AA95" i="6"/>
  <c r="AC95" i="6" s="1"/>
  <c r="AB95" i="6"/>
  <c r="AD95" i="6"/>
  <c r="AA96" i="6"/>
  <c r="AC96" i="6" s="1"/>
  <c r="AE96" i="6" s="1"/>
  <c r="AB96" i="6"/>
  <c r="AD96" i="6"/>
  <c r="AA97" i="6"/>
  <c r="AC97" i="6" s="1"/>
  <c r="AB97" i="6"/>
  <c r="AD97" i="6"/>
  <c r="AA98" i="6"/>
  <c r="AC98" i="6" s="1"/>
  <c r="AE98" i="6" s="1"/>
  <c r="AB98" i="6"/>
  <c r="AD98" i="6"/>
  <c r="AA99" i="6"/>
  <c r="AC99" i="6" s="1"/>
  <c r="AB99" i="6"/>
  <c r="AD99" i="6"/>
  <c r="AA100" i="6"/>
  <c r="AC100" i="6" s="1"/>
  <c r="AB100" i="6"/>
  <c r="AD100" i="6"/>
  <c r="AD89" i="6"/>
  <c r="AB89" i="6"/>
  <c r="AA89" i="6"/>
  <c r="AC89" i="6" s="1"/>
  <c r="AD88" i="6"/>
  <c r="AC88" i="6"/>
  <c r="AE88" i="6" s="1"/>
  <c r="AB88" i="6"/>
  <c r="AA88" i="6"/>
  <c r="AD87" i="6"/>
  <c r="AC87" i="6"/>
  <c r="AE87" i="6" s="1"/>
  <c r="AB87" i="6"/>
  <c r="AA87" i="6"/>
  <c r="AD86" i="6"/>
  <c r="AB86" i="6"/>
  <c r="AA86" i="6"/>
  <c r="AC86" i="6" s="1"/>
  <c r="AD85" i="6"/>
  <c r="AB85" i="6"/>
  <c r="AA85" i="6"/>
  <c r="AC85" i="6" s="1"/>
  <c r="AD84" i="6"/>
  <c r="AB84" i="6"/>
  <c r="AA84" i="6"/>
  <c r="AC84" i="6" s="1"/>
  <c r="AD83" i="6"/>
  <c r="AC83" i="6"/>
  <c r="AB83" i="6"/>
  <c r="AA83" i="6"/>
  <c r="AD82" i="6"/>
  <c r="AB82" i="6"/>
  <c r="AA82" i="6"/>
  <c r="AC82" i="6" s="1"/>
  <c r="AD81" i="6"/>
  <c r="AB81" i="6"/>
  <c r="AA81" i="6"/>
  <c r="AC81" i="6" s="1"/>
  <c r="AD80" i="6"/>
  <c r="AB80" i="6"/>
  <c r="AA80" i="6"/>
  <c r="AC80" i="6" s="1"/>
  <c r="AD79" i="6"/>
  <c r="AB79" i="6"/>
  <c r="AA79" i="6"/>
  <c r="AC79" i="6" s="1"/>
  <c r="AD78" i="6"/>
  <c r="AB78" i="6"/>
  <c r="AA78" i="6"/>
  <c r="AC78" i="6" s="1"/>
  <c r="AD77" i="6"/>
  <c r="AB77" i="6"/>
  <c r="AA77" i="6"/>
  <c r="AC77" i="6" s="1"/>
  <c r="AD76" i="6"/>
  <c r="AB76" i="6"/>
  <c r="AA76" i="6"/>
  <c r="AC76" i="6" s="1"/>
  <c r="AE76" i="6" s="1"/>
  <c r="AD75" i="6"/>
  <c r="AB75" i="6"/>
  <c r="AA75" i="6"/>
  <c r="AC75" i="6" s="1"/>
  <c r="AD74" i="6"/>
  <c r="AB74" i="6"/>
  <c r="AA74" i="6"/>
  <c r="AC74" i="6" s="1"/>
  <c r="AE74" i="6" s="1"/>
  <c r="AD73" i="6"/>
  <c r="AB73" i="6"/>
  <c r="AA73" i="6"/>
  <c r="AC73" i="6" s="1"/>
  <c r="AD72" i="6"/>
  <c r="AB72" i="6"/>
  <c r="AA72" i="6"/>
  <c r="AC72" i="6" s="1"/>
  <c r="AE72" i="6" s="1"/>
  <c r="AD71" i="6"/>
  <c r="AB71" i="6"/>
  <c r="AA71" i="6"/>
  <c r="AC71" i="6" s="1"/>
  <c r="AD70" i="6"/>
  <c r="AB70" i="6"/>
  <c r="AA70" i="6"/>
  <c r="AC70" i="6" s="1"/>
  <c r="AD69" i="6"/>
  <c r="AE69" i="6" s="1"/>
  <c r="AB69" i="6"/>
  <c r="AA69" i="6"/>
  <c r="AC69" i="6" s="1"/>
  <c r="AD68" i="6"/>
  <c r="AB68" i="6"/>
  <c r="AA68" i="6"/>
  <c r="AC68" i="6" s="1"/>
  <c r="AD67" i="6"/>
  <c r="AB67" i="6"/>
  <c r="AA67" i="6"/>
  <c r="AC67" i="6" s="1"/>
  <c r="AD66" i="6"/>
  <c r="AB66" i="6"/>
  <c r="AA66" i="6"/>
  <c r="AC66" i="6" s="1"/>
  <c r="AD65" i="6"/>
  <c r="AB65" i="6"/>
  <c r="AA65" i="6"/>
  <c r="AC65" i="6" s="1"/>
  <c r="AD64" i="6"/>
  <c r="AB64" i="6"/>
  <c r="AA64" i="6"/>
  <c r="AC64" i="6" s="1"/>
  <c r="AD63" i="6"/>
  <c r="AB63" i="6"/>
  <c r="AA63" i="6"/>
  <c r="AC63" i="6" s="1"/>
  <c r="AE63" i="6" s="1"/>
  <c r="AD62" i="6"/>
  <c r="AB62" i="6"/>
  <c r="AA62" i="6"/>
  <c r="AC62" i="6" s="1"/>
  <c r="AD61" i="6"/>
  <c r="AB61" i="6"/>
  <c r="AA61" i="6"/>
  <c r="AC61" i="6" s="1"/>
  <c r="AD60" i="6"/>
  <c r="AB60" i="6"/>
  <c r="AA60" i="6"/>
  <c r="AC60" i="6" s="1"/>
  <c r="AE60" i="6" s="1"/>
  <c r="AD59" i="6"/>
  <c r="AB59" i="6"/>
  <c r="AA59" i="6"/>
  <c r="AC59" i="6" s="1"/>
  <c r="AD58" i="6"/>
  <c r="AB58" i="6"/>
  <c r="AA58" i="6"/>
  <c r="AC58" i="6" s="1"/>
  <c r="AE58" i="6" s="1"/>
  <c r="AD57" i="6"/>
  <c r="AB57" i="6"/>
  <c r="AA57" i="6"/>
  <c r="AC57" i="6" s="1"/>
  <c r="AD56" i="6"/>
  <c r="AB56" i="6"/>
  <c r="AA56" i="6"/>
  <c r="AC56" i="6" s="1"/>
  <c r="AD55" i="6"/>
  <c r="AB55" i="6"/>
  <c r="AA55" i="6"/>
  <c r="AC55" i="6" s="1"/>
  <c r="AD54" i="6"/>
  <c r="AB54" i="6"/>
  <c r="AA54" i="6"/>
  <c r="AC54" i="6" s="1"/>
  <c r="AE54" i="6" s="1"/>
  <c r="AD53" i="6"/>
  <c r="AB53" i="6"/>
  <c r="AA53" i="6"/>
  <c r="AC53" i="6" s="1"/>
  <c r="AD52" i="6"/>
  <c r="AB52" i="6"/>
  <c r="AA52" i="6"/>
  <c r="AC52" i="6" s="1"/>
  <c r="AD51" i="6"/>
  <c r="AB51" i="6"/>
  <c r="AA51" i="6"/>
  <c r="AC51" i="6" s="1"/>
  <c r="AD50" i="6"/>
  <c r="AB50" i="6"/>
  <c r="AA50" i="6"/>
  <c r="AC50" i="6" s="1"/>
  <c r="AE50" i="6" s="1"/>
  <c r="AD49" i="6"/>
  <c r="AB49" i="6"/>
  <c r="AA49" i="6"/>
  <c r="AC49" i="6" s="1"/>
  <c r="AE49" i="6" s="1"/>
  <c r="AD48" i="6"/>
  <c r="AB48" i="6"/>
  <c r="AA48" i="6"/>
  <c r="AC48" i="6" s="1"/>
  <c r="AD47" i="6"/>
  <c r="AB47" i="6"/>
  <c r="AA47" i="6"/>
  <c r="AC47" i="6" s="1"/>
  <c r="AE47" i="6" s="1"/>
  <c r="AD46" i="6"/>
  <c r="AB46" i="6"/>
  <c r="AA46" i="6"/>
  <c r="AC46" i="6" s="1"/>
  <c r="AE46" i="6" s="1"/>
  <c r="AD45" i="6"/>
  <c r="AB45" i="6"/>
  <c r="AA45" i="6"/>
  <c r="AC45" i="6" s="1"/>
  <c r="AD44" i="6"/>
  <c r="AB44" i="6"/>
  <c r="AA44" i="6"/>
  <c r="AC44" i="6" s="1"/>
  <c r="AE44" i="6" s="1"/>
  <c r="AD43" i="6"/>
  <c r="AB43" i="6"/>
  <c r="AA43" i="6"/>
  <c r="AC43" i="6" s="1"/>
  <c r="AD42" i="6"/>
  <c r="AC42" i="6"/>
  <c r="AE42" i="6" s="1"/>
  <c r="AB42" i="6"/>
  <c r="AA42" i="6"/>
  <c r="AD41" i="6"/>
  <c r="AB41" i="6"/>
  <c r="AA41" i="6"/>
  <c r="AC41" i="6" s="1"/>
  <c r="AE41" i="6" s="1"/>
  <c r="AD40" i="6"/>
  <c r="AB40" i="6"/>
  <c r="AA40" i="6"/>
  <c r="AC40" i="6" s="1"/>
  <c r="AD39" i="6"/>
  <c r="AB39" i="6"/>
  <c r="AA39" i="6"/>
  <c r="AC39" i="6" s="1"/>
  <c r="AD38" i="6"/>
  <c r="AB38" i="6"/>
  <c r="AA38" i="6"/>
  <c r="AC38" i="6" s="1"/>
  <c r="AD37" i="6"/>
  <c r="AB37" i="6"/>
  <c r="AA37" i="6"/>
  <c r="AC37" i="6" s="1"/>
  <c r="AD36" i="6"/>
  <c r="AB36" i="6"/>
  <c r="AA36" i="6"/>
  <c r="AC36" i="6" s="1"/>
  <c r="AE36" i="6" s="1"/>
  <c r="AD35" i="6"/>
  <c r="AB35" i="6"/>
  <c r="AA35" i="6"/>
  <c r="AC35" i="6" s="1"/>
  <c r="AD34" i="6"/>
  <c r="AB34" i="6"/>
  <c r="AA34" i="6"/>
  <c r="AC34" i="6" s="1"/>
  <c r="AD33" i="6"/>
  <c r="AB33" i="6"/>
  <c r="AA33" i="6"/>
  <c r="AC33" i="6" s="1"/>
  <c r="AD32" i="6"/>
  <c r="AB32" i="6"/>
  <c r="AA32" i="6"/>
  <c r="AC32" i="6" s="1"/>
  <c r="AD31" i="6"/>
  <c r="AB31" i="6"/>
  <c r="AA31" i="6"/>
  <c r="AC31" i="6" s="1"/>
  <c r="AE31" i="6" s="1"/>
  <c r="AD30" i="6"/>
  <c r="AB30" i="6"/>
  <c r="AA30" i="6"/>
  <c r="AC30" i="6" s="1"/>
  <c r="AD29" i="6"/>
  <c r="AB29" i="6"/>
  <c r="AA29" i="6"/>
  <c r="AC29" i="6" s="1"/>
  <c r="AD28" i="6"/>
  <c r="AC28" i="6"/>
  <c r="AE28" i="6" s="1"/>
  <c r="AB28" i="6"/>
  <c r="AA28" i="6"/>
  <c r="AD27" i="6"/>
  <c r="AB27" i="6"/>
  <c r="AA27" i="6"/>
  <c r="AC27" i="6" s="1"/>
  <c r="AD26" i="6"/>
  <c r="AB26" i="6"/>
  <c r="AA26" i="6"/>
  <c r="AC26" i="6" s="1"/>
  <c r="AE26" i="6" s="1"/>
  <c r="AD25" i="6"/>
  <c r="AB25" i="6"/>
  <c r="AA25" i="6"/>
  <c r="AC25" i="6" s="1"/>
  <c r="AD24" i="6"/>
  <c r="AB24" i="6"/>
  <c r="AA24" i="6"/>
  <c r="AC24" i="6" s="1"/>
  <c r="AD23" i="6"/>
  <c r="AB23" i="6"/>
  <c r="AA23" i="6"/>
  <c r="AC23" i="6" s="1"/>
  <c r="AD22" i="6"/>
  <c r="AC22" i="6"/>
  <c r="AB22" i="6"/>
  <c r="AA22" i="6"/>
  <c r="AD21" i="6"/>
  <c r="AB21" i="6"/>
  <c r="AA21" i="6"/>
  <c r="AC21" i="6" s="1"/>
  <c r="AD20" i="6"/>
  <c r="AB20" i="6"/>
  <c r="AA20" i="6"/>
  <c r="AC20" i="6" s="1"/>
  <c r="AD19" i="6"/>
  <c r="AB19" i="6"/>
  <c r="AA19" i="6"/>
  <c r="AC19" i="6" s="1"/>
  <c r="AD18" i="6"/>
  <c r="AB18" i="6"/>
  <c r="AA18" i="6"/>
  <c r="AC18" i="6" s="1"/>
  <c r="AD17" i="6"/>
  <c r="AB17" i="6"/>
  <c r="AA17" i="6"/>
  <c r="AC17" i="6" s="1"/>
  <c r="AD16" i="6"/>
  <c r="AB16" i="6"/>
  <c r="AA16" i="6"/>
  <c r="AC16" i="6" s="1"/>
  <c r="AE16" i="6" s="1"/>
  <c r="AD15" i="6"/>
  <c r="AB15" i="6"/>
  <c r="AA15" i="6"/>
  <c r="AC15" i="6" s="1"/>
  <c r="AD14" i="6"/>
  <c r="AB14" i="6"/>
  <c r="AA14" i="6"/>
  <c r="AC14" i="6" s="1"/>
  <c r="AE14" i="6" s="1"/>
  <c r="AD13" i="6"/>
  <c r="AB13" i="6"/>
  <c r="AA13" i="6"/>
  <c r="AC13" i="6" s="1"/>
  <c r="AD12" i="6"/>
  <c r="AB12" i="6"/>
  <c r="AA12" i="6"/>
  <c r="AC12" i="6" s="1"/>
  <c r="AE12" i="6" s="1"/>
  <c r="AD11" i="6"/>
  <c r="AB11" i="6"/>
  <c r="AA11" i="6"/>
  <c r="AC11" i="6" s="1"/>
  <c r="AD10" i="6"/>
  <c r="AC10" i="6"/>
  <c r="AB10" i="6"/>
  <c r="AA10" i="6"/>
  <c r="AD9" i="6"/>
  <c r="AB9" i="6"/>
  <c r="AA9" i="6"/>
  <c r="AC9" i="6" s="1"/>
  <c r="AE9" i="6" s="1"/>
  <c r="AD8" i="6"/>
  <c r="AB8" i="6"/>
  <c r="AA8" i="6"/>
  <c r="AC8" i="6" s="1"/>
  <c r="AD7" i="6"/>
  <c r="AB7" i="6"/>
  <c r="AA7" i="6"/>
  <c r="AC7" i="6" s="1"/>
  <c r="AE7" i="6" s="1"/>
  <c r="AD6" i="6"/>
  <c r="AB6" i="6"/>
  <c r="AA6" i="6"/>
  <c r="AC6" i="6" s="1"/>
  <c r="AD5" i="6"/>
  <c r="AE5" i="6" s="1"/>
  <c r="AB5" i="6"/>
  <c r="AA5" i="6"/>
  <c r="AC5" i="6" s="1"/>
  <c r="AD4" i="6"/>
  <c r="AB4" i="6"/>
  <c r="AA4" i="6"/>
  <c r="AC4" i="6" s="1"/>
  <c r="AE4" i="6" s="1"/>
  <c r="AD3" i="6"/>
  <c r="AC3" i="6"/>
  <c r="AB3" i="6"/>
  <c r="AA3" i="6"/>
  <c r="AD2" i="6"/>
  <c r="AB2" i="6"/>
  <c r="AA2" i="6"/>
  <c r="AC2" i="6" s="1"/>
  <c r="AE2" i="6" s="1"/>
  <c r="AE34" i="4"/>
  <c r="AC34" i="4"/>
  <c r="AB34" i="4"/>
  <c r="AD34" i="4" s="1"/>
  <c r="AE33" i="4"/>
  <c r="AC33" i="4"/>
  <c r="AB33" i="4"/>
  <c r="AD33" i="4" s="1"/>
  <c r="AF33" i="4" s="1"/>
  <c r="AE32" i="4"/>
  <c r="AC32" i="4"/>
  <c r="AB32" i="4"/>
  <c r="AD32" i="4" s="1"/>
  <c r="AE31" i="4"/>
  <c r="AC31" i="4"/>
  <c r="AB31" i="4"/>
  <c r="AD31" i="4" s="1"/>
  <c r="AE30" i="4"/>
  <c r="AC30" i="4"/>
  <c r="AB30" i="4"/>
  <c r="AD30" i="4" s="1"/>
  <c r="AE29" i="4"/>
  <c r="AC29" i="4"/>
  <c r="AB29" i="4"/>
  <c r="AD29" i="4" s="1"/>
  <c r="AE28" i="4"/>
  <c r="AC28" i="4"/>
  <c r="AB28" i="4"/>
  <c r="AD28" i="4" s="1"/>
  <c r="AE27" i="4"/>
  <c r="AC27" i="4"/>
  <c r="AB27" i="4"/>
  <c r="AD27" i="4" s="1"/>
  <c r="AE26" i="4"/>
  <c r="AC26" i="4"/>
  <c r="AB26" i="4"/>
  <c r="AD26" i="4" s="1"/>
  <c r="AE25" i="4"/>
  <c r="AC25" i="4"/>
  <c r="AB25" i="4"/>
  <c r="AD25" i="4" s="1"/>
  <c r="AE24" i="4"/>
  <c r="AC24" i="4"/>
  <c r="AB24" i="4"/>
  <c r="AD24" i="4" s="1"/>
  <c r="AE23" i="4"/>
  <c r="AC23" i="4"/>
  <c r="AB23" i="4"/>
  <c r="AD23" i="4" s="1"/>
  <c r="AE22" i="4"/>
  <c r="AC22" i="4"/>
  <c r="AB22" i="4"/>
  <c r="AD22" i="4" s="1"/>
  <c r="AE21" i="4"/>
  <c r="AC21" i="4"/>
  <c r="AB21" i="4"/>
  <c r="AD21" i="4" s="1"/>
  <c r="AE20" i="4"/>
  <c r="AC20" i="4"/>
  <c r="AB20" i="4"/>
  <c r="AD20" i="4" s="1"/>
  <c r="AE19" i="4"/>
  <c r="AC19" i="4"/>
  <c r="AB19" i="4"/>
  <c r="AD19" i="4" s="1"/>
  <c r="AE18" i="4"/>
  <c r="AC18" i="4"/>
  <c r="AB18" i="4"/>
  <c r="AD18" i="4" s="1"/>
  <c r="AE17" i="4"/>
  <c r="AC17" i="4"/>
  <c r="AB17" i="4"/>
  <c r="AD17" i="4" s="1"/>
  <c r="AE16" i="4"/>
  <c r="AC16" i="4"/>
  <c r="AB16" i="4"/>
  <c r="AD16" i="4" s="1"/>
  <c r="AE15" i="4"/>
  <c r="AC15" i="4"/>
  <c r="AB15" i="4"/>
  <c r="AD15" i="4" s="1"/>
  <c r="AE14" i="4"/>
  <c r="AC14" i="4"/>
  <c r="AB14" i="4"/>
  <c r="AD14" i="4" s="1"/>
  <c r="AE13" i="4"/>
  <c r="AC13" i="4"/>
  <c r="AB13" i="4"/>
  <c r="AD13" i="4" s="1"/>
  <c r="AE12" i="4"/>
  <c r="AC12" i="4"/>
  <c r="AB12" i="4"/>
  <c r="AD12" i="4" s="1"/>
  <c r="AE11" i="4"/>
  <c r="AC11" i="4"/>
  <c r="AB11" i="4"/>
  <c r="AD11" i="4" s="1"/>
  <c r="AE10" i="4"/>
  <c r="AC10" i="4"/>
  <c r="AB10" i="4"/>
  <c r="AD10" i="4" s="1"/>
  <c r="AE9" i="4"/>
  <c r="AC9" i="4"/>
  <c r="AB9" i="4"/>
  <c r="AD9" i="4" s="1"/>
  <c r="AE8" i="4"/>
  <c r="AC8" i="4"/>
  <c r="AB8" i="4"/>
  <c r="AD8" i="4" s="1"/>
  <c r="AE7" i="4"/>
  <c r="AC7" i="4"/>
  <c r="AB7" i="4"/>
  <c r="AD7" i="4" s="1"/>
  <c r="AE6" i="4"/>
  <c r="AC6" i="4"/>
  <c r="AB6" i="4"/>
  <c r="AD6" i="4" s="1"/>
  <c r="AE5" i="4"/>
  <c r="AC5" i="4"/>
  <c r="AB5" i="4"/>
  <c r="AD5" i="4" s="1"/>
  <c r="AE4" i="4"/>
  <c r="AC4" i="4"/>
  <c r="AB4" i="4"/>
  <c r="AD4" i="4" s="1"/>
  <c r="AE3" i="4"/>
  <c r="AC3" i="4"/>
  <c r="AB3" i="4"/>
  <c r="AD3" i="4" s="1"/>
  <c r="AE2" i="4"/>
  <c r="AC2" i="4"/>
  <c r="AB2" i="4"/>
  <c r="AD2" i="4" s="1"/>
  <c r="AE23" i="3"/>
  <c r="AC23" i="3"/>
  <c r="AB23" i="3"/>
  <c r="AD23" i="3" s="1"/>
  <c r="AE22" i="3"/>
  <c r="AC22" i="3"/>
  <c r="AB22" i="3"/>
  <c r="AD22" i="3" s="1"/>
  <c r="AE21" i="3"/>
  <c r="AC21" i="3"/>
  <c r="AB21" i="3"/>
  <c r="AD21" i="3" s="1"/>
  <c r="AE20" i="3"/>
  <c r="AC20" i="3"/>
  <c r="AB20" i="3"/>
  <c r="AD20" i="3" s="1"/>
  <c r="AE19" i="3"/>
  <c r="AC19" i="3"/>
  <c r="AB19" i="3"/>
  <c r="AD19" i="3" s="1"/>
  <c r="AE18" i="3"/>
  <c r="AC18" i="3"/>
  <c r="AB18" i="3"/>
  <c r="AD18" i="3" s="1"/>
  <c r="AE17" i="3"/>
  <c r="AC17" i="3"/>
  <c r="AB17" i="3"/>
  <c r="AD17" i="3" s="1"/>
  <c r="AE16" i="3"/>
  <c r="AC16" i="3"/>
  <c r="AB16" i="3"/>
  <c r="AD16" i="3" s="1"/>
  <c r="AE15" i="3"/>
  <c r="AC15" i="3"/>
  <c r="AB15" i="3"/>
  <c r="AD15" i="3" s="1"/>
  <c r="AE14" i="3"/>
  <c r="AC14" i="3"/>
  <c r="AB14" i="3"/>
  <c r="AD14" i="3" s="1"/>
  <c r="AE13" i="3"/>
  <c r="AC13" i="3"/>
  <c r="AB13" i="3"/>
  <c r="AD13" i="3" s="1"/>
  <c r="AE12" i="3"/>
  <c r="AC12" i="3"/>
  <c r="AB12" i="3"/>
  <c r="AD12" i="3" s="1"/>
  <c r="AE11" i="3"/>
  <c r="AC11" i="3"/>
  <c r="AB11" i="3"/>
  <c r="AD11" i="3" s="1"/>
  <c r="AE10" i="3"/>
  <c r="AC10" i="3"/>
  <c r="AB10" i="3"/>
  <c r="AD10" i="3" s="1"/>
  <c r="AE9" i="3"/>
  <c r="AC9" i="3"/>
  <c r="AB9" i="3"/>
  <c r="AD9" i="3" s="1"/>
  <c r="AE8" i="3"/>
  <c r="AC8" i="3"/>
  <c r="AB8" i="3"/>
  <c r="AD8" i="3" s="1"/>
  <c r="AE7" i="3"/>
  <c r="AC7" i="3"/>
  <c r="AB7" i="3"/>
  <c r="AD7" i="3" s="1"/>
  <c r="AE6" i="3"/>
  <c r="AC6" i="3"/>
  <c r="AB6" i="3"/>
  <c r="AD6" i="3" s="1"/>
  <c r="AE5" i="3"/>
  <c r="AC5" i="3"/>
  <c r="AB5" i="3"/>
  <c r="AD5" i="3" s="1"/>
  <c r="AE4" i="3"/>
  <c r="AC4" i="3"/>
  <c r="AB4" i="3"/>
  <c r="AD4" i="3" s="1"/>
  <c r="AE3" i="3"/>
  <c r="AC3" i="3"/>
  <c r="AB3" i="3"/>
  <c r="AD3" i="3" s="1"/>
  <c r="AE2" i="3"/>
  <c r="AC2" i="3"/>
  <c r="AB2" i="3"/>
  <c r="AD2" i="3" s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2" i="1"/>
  <c r="AC11" i="1"/>
  <c r="AE11" i="1" s="1"/>
  <c r="AC12" i="1"/>
  <c r="AE12" i="1" s="1"/>
  <c r="AC16" i="1"/>
  <c r="AE16" i="1" s="1"/>
  <c r="AC17" i="1"/>
  <c r="AE17" i="1" s="1"/>
  <c r="AC32" i="1"/>
  <c r="AB2" i="1"/>
  <c r="AA3" i="1"/>
  <c r="AC3" i="1" s="1"/>
  <c r="AE3" i="1" s="1"/>
  <c r="AA4" i="1"/>
  <c r="AC4" i="1" s="1"/>
  <c r="AA5" i="1"/>
  <c r="AC5" i="1" s="1"/>
  <c r="AA6" i="1"/>
  <c r="AC6" i="1" s="1"/>
  <c r="AA7" i="1"/>
  <c r="AC7" i="1" s="1"/>
  <c r="AA8" i="1"/>
  <c r="AC8" i="1" s="1"/>
  <c r="AA9" i="1"/>
  <c r="AC9" i="1" s="1"/>
  <c r="AE9" i="1" s="1"/>
  <c r="AA10" i="1"/>
  <c r="AC10" i="1" s="1"/>
  <c r="AE10" i="1" s="1"/>
  <c r="AA11" i="1"/>
  <c r="AA12" i="1"/>
  <c r="AA13" i="1"/>
  <c r="AC13" i="1" s="1"/>
  <c r="AA14" i="1"/>
  <c r="AC14" i="1" s="1"/>
  <c r="AE14" i="1" s="1"/>
  <c r="AA15" i="1"/>
  <c r="AC15" i="1" s="1"/>
  <c r="AE15" i="1" s="1"/>
  <c r="AA16" i="1"/>
  <c r="AA17" i="1"/>
  <c r="AA18" i="1"/>
  <c r="AC18" i="1" s="1"/>
  <c r="AE18" i="1" s="1"/>
  <c r="AA19" i="1"/>
  <c r="AC19" i="1" s="1"/>
  <c r="AA20" i="1"/>
  <c r="AC20" i="1" s="1"/>
  <c r="AA21" i="1"/>
  <c r="AC21" i="1" s="1"/>
  <c r="AA22" i="1"/>
  <c r="AC22" i="1" s="1"/>
  <c r="AA23" i="1"/>
  <c r="AC23" i="1" s="1"/>
  <c r="AA24" i="1"/>
  <c r="AC24" i="1" s="1"/>
  <c r="AA25" i="1"/>
  <c r="AC25" i="1" s="1"/>
  <c r="AE25" i="1" s="1"/>
  <c r="AA26" i="1"/>
  <c r="AC26" i="1" s="1"/>
  <c r="AE26" i="1" s="1"/>
  <c r="AA27" i="1"/>
  <c r="AC27" i="1" s="1"/>
  <c r="AE27" i="1" s="1"/>
  <c r="AA28" i="1"/>
  <c r="AC28" i="1" s="1"/>
  <c r="AE28" i="1" s="1"/>
  <c r="AA29" i="1"/>
  <c r="AC29" i="1" s="1"/>
  <c r="AA30" i="1"/>
  <c r="AC30" i="1" s="1"/>
  <c r="AE30" i="1" s="1"/>
  <c r="AA31" i="1"/>
  <c r="AC31" i="1" s="1"/>
  <c r="AE31" i="1" s="1"/>
  <c r="AA32" i="1"/>
  <c r="AA33" i="1"/>
  <c r="AC33" i="1" s="1"/>
  <c r="AE33" i="1" s="1"/>
  <c r="AA34" i="1"/>
  <c r="AC34" i="1" s="1"/>
  <c r="AE34" i="1" s="1"/>
  <c r="AA2" i="1"/>
  <c r="AC2" i="1" s="1"/>
  <c r="AF30" i="4" l="1"/>
  <c r="AE21" i="1"/>
  <c r="AE5" i="1"/>
  <c r="AE23" i="1"/>
  <c r="AE22" i="1"/>
  <c r="AE4" i="1"/>
  <c r="AE24" i="1"/>
  <c r="AE7" i="1"/>
  <c r="AE8" i="1"/>
  <c r="AE19" i="1"/>
  <c r="AE32" i="1"/>
  <c r="AE13" i="1"/>
  <c r="AE6" i="1"/>
  <c r="AE20" i="1"/>
  <c r="AE2" i="1"/>
  <c r="AE29" i="1"/>
  <c r="AF12" i="4"/>
  <c r="AF25" i="4"/>
  <c r="AF10" i="4"/>
  <c r="AF18" i="4"/>
  <c r="AF16" i="4"/>
  <c r="AF6" i="4"/>
  <c r="AF7" i="3"/>
  <c r="AF2" i="3"/>
  <c r="AF19" i="3"/>
  <c r="AE23" i="14"/>
  <c r="AE37" i="14"/>
  <c r="AE19" i="14"/>
  <c r="AE14" i="14"/>
  <c r="AE10" i="14"/>
  <c r="AE33" i="14"/>
  <c r="AE22" i="14"/>
  <c r="AE36" i="14"/>
  <c r="AE6" i="14"/>
  <c r="AE12" i="14"/>
  <c r="AE17" i="14"/>
  <c r="AE20" i="14"/>
  <c r="AE34" i="14"/>
  <c r="AE5" i="14"/>
  <c r="AE27" i="14"/>
  <c r="AE11" i="14"/>
  <c r="AE24" i="14"/>
  <c r="AE25" i="14"/>
  <c r="AE29" i="14"/>
  <c r="AE13" i="14"/>
  <c r="AE18" i="14"/>
  <c r="AE26" i="14"/>
  <c r="AE28" i="14"/>
  <c r="AE31" i="14"/>
  <c r="AE4" i="14"/>
  <c r="AE9" i="14"/>
  <c r="AE16" i="14"/>
  <c r="AE32" i="14"/>
  <c r="AE21" i="14"/>
  <c r="AE2" i="14"/>
  <c r="AE7" i="14"/>
  <c r="AE30" i="14"/>
  <c r="AE3" i="14"/>
  <c r="AE8" i="14"/>
  <c r="AE15" i="14"/>
  <c r="AE35" i="14"/>
  <c r="AE95" i="6"/>
  <c r="AE100" i="6"/>
  <c r="AE15" i="6"/>
  <c r="AE45" i="6"/>
  <c r="AE90" i="6"/>
  <c r="AE56" i="6"/>
  <c r="AE10" i="6"/>
  <c r="AE35" i="6"/>
  <c r="AE94" i="6"/>
  <c r="AE11" i="6"/>
  <c r="AE21" i="6"/>
  <c r="AE57" i="6"/>
  <c r="AE62" i="6"/>
  <c r="AE52" i="6"/>
  <c r="AE73" i="6"/>
  <c r="AE18" i="6"/>
  <c r="AE33" i="6"/>
  <c r="AE38" i="6"/>
  <c r="AE43" i="6"/>
  <c r="AE48" i="6"/>
  <c r="AE97" i="6"/>
  <c r="AE8" i="6"/>
  <c r="AE13" i="6"/>
  <c r="AE59" i="6"/>
  <c r="AE64" i="6"/>
  <c r="AE20" i="6"/>
  <c r="AE25" i="6"/>
  <c r="AE79" i="6"/>
  <c r="AE83" i="6"/>
  <c r="AE30" i="6"/>
  <c r="AE40" i="6"/>
  <c r="AE84" i="6"/>
  <c r="AE55" i="6"/>
  <c r="AE89" i="6"/>
  <c r="AE65" i="6"/>
  <c r="AE70" i="6"/>
  <c r="AE75" i="6"/>
  <c r="AE80" i="6"/>
  <c r="AE17" i="6"/>
  <c r="AE61" i="6"/>
  <c r="AE66" i="6"/>
  <c r="AE71" i="6"/>
  <c r="AE85" i="6"/>
  <c r="AE99" i="6"/>
  <c r="AE27" i="6"/>
  <c r="AE32" i="6"/>
  <c r="AE81" i="6"/>
  <c r="AE86" i="6"/>
  <c r="AE3" i="6"/>
  <c r="AE23" i="6"/>
  <c r="AE37" i="6"/>
  <c r="AE77" i="6"/>
  <c r="AE82" i="6"/>
  <c r="AE92" i="6"/>
  <c r="AE19" i="6"/>
  <c r="AE51" i="6"/>
  <c r="AE67" i="6"/>
  <c r="AE24" i="6"/>
  <c r="AE68" i="6"/>
  <c r="AE78" i="6"/>
  <c r="AE29" i="6"/>
  <c r="AE34" i="6"/>
  <c r="AE39" i="6"/>
  <c r="AE53" i="6"/>
  <c r="AF23" i="3"/>
  <c r="AF18" i="3"/>
  <c r="AF4" i="3"/>
  <c r="AF17" i="3"/>
  <c r="AF14" i="3"/>
  <c r="AF3" i="3"/>
  <c r="AF8" i="3"/>
  <c r="AF9" i="3"/>
  <c r="AF20" i="3"/>
  <c r="AF11" i="3"/>
  <c r="AF6" i="3"/>
  <c r="AF10" i="3"/>
  <c r="AF13" i="3"/>
  <c r="AF22" i="3"/>
  <c r="AF12" i="3"/>
  <c r="AF15" i="3"/>
  <c r="AF16" i="3"/>
  <c r="AF5" i="3"/>
  <c r="AF21" i="3"/>
  <c r="AF14" i="4"/>
  <c r="AF34" i="4"/>
  <c r="AF15" i="4"/>
  <c r="AF20" i="4"/>
  <c r="AF3" i="4"/>
  <c r="AF29" i="4"/>
  <c r="AF26" i="4"/>
  <c r="AF27" i="4"/>
  <c r="AF23" i="4"/>
  <c r="AF4" i="4"/>
  <c r="AF8" i="4"/>
  <c r="AF21" i="4"/>
  <c r="AF9" i="4"/>
  <c r="AF2" i="4"/>
  <c r="AF13" i="4"/>
  <c r="AF17" i="4"/>
  <c r="AF24" i="4"/>
  <c r="AF7" i="4"/>
  <c r="AF19" i="4"/>
  <c r="AF5" i="4"/>
  <c r="AF31" i="4"/>
  <c r="AF11" i="4"/>
  <c r="AF32" i="4"/>
  <c r="AF22" i="4"/>
  <c r="AF28" i="4"/>
  <c r="AF21" i="18"/>
  <c r="AG21" i="18" s="1"/>
  <c r="AF23" i="18"/>
  <c r="AG23" i="18" s="1"/>
  <c r="AF14" i="18"/>
  <c r="AG14" i="18" s="1"/>
  <c r="T10" i="18"/>
  <c r="U10" i="18" s="1"/>
  <c r="V10" i="18" s="1"/>
  <c r="T23" i="18"/>
  <c r="U23" i="18" s="1"/>
  <c r="V23" i="18" s="1"/>
  <c r="T14" i="18"/>
  <c r="U14" i="18" s="1"/>
  <c r="V14" i="18" s="1"/>
  <c r="AF4" i="18"/>
  <c r="AG4" i="18" s="1"/>
  <c r="AF34" i="18"/>
  <c r="AG34" i="18" s="1"/>
  <c r="T34" i="18"/>
  <c r="U34" i="18" s="1"/>
  <c r="V34" i="18" s="1"/>
  <c r="T4" i="18"/>
  <c r="U4" i="18" s="1"/>
  <c r="V4" i="18" s="1"/>
  <c r="AE6" i="16"/>
  <c r="AE3" i="9"/>
  <c r="AE6" i="6"/>
  <c r="AE22" i="6"/>
  <c r="Z3" i="16" l="1"/>
  <c r="Z4" i="16"/>
  <c r="Z5" i="16"/>
  <c r="Z6" i="16"/>
  <c r="Z7" i="16"/>
  <c r="Z8" i="16"/>
  <c r="Z9" i="16"/>
  <c r="Z10" i="16"/>
  <c r="Z11" i="16"/>
  <c r="Z12" i="16"/>
  <c r="Z13" i="16"/>
  <c r="Z14" i="16"/>
  <c r="Z15" i="16"/>
  <c r="Z16" i="16"/>
  <c r="Z17" i="16"/>
  <c r="Z18" i="16"/>
  <c r="Z19" i="16"/>
  <c r="Z20" i="16"/>
  <c r="Z21" i="16"/>
  <c r="Z2" i="16"/>
  <c r="Q21" i="16"/>
  <c r="O21" i="16"/>
  <c r="U21" i="16" s="1"/>
  <c r="N21" i="16"/>
  <c r="I21" i="16"/>
  <c r="S21" i="16" s="1"/>
  <c r="Q20" i="16"/>
  <c r="O20" i="16"/>
  <c r="U20" i="16" s="1"/>
  <c r="N20" i="16"/>
  <c r="I20" i="16"/>
  <c r="S20" i="16" s="1"/>
  <c r="Q19" i="16"/>
  <c r="P19" i="16"/>
  <c r="O19" i="16"/>
  <c r="U19" i="16" s="1"/>
  <c r="N19" i="16"/>
  <c r="I19" i="16"/>
  <c r="S19" i="16" s="1"/>
  <c r="Q18" i="16"/>
  <c r="O18" i="16"/>
  <c r="U18" i="16" s="1"/>
  <c r="N18" i="16"/>
  <c r="I18" i="16"/>
  <c r="K18" i="16" s="1"/>
  <c r="Q17" i="16"/>
  <c r="O17" i="16"/>
  <c r="U17" i="16" s="1"/>
  <c r="I17" i="16"/>
  <c r="Q16" i="16"/>
  <c r="O16" i="16"/>
  <c r="U16" i="16" s="1"/>
  <c r="N16" i="16"/>
  <c r="I16" i="16"/>
  <c r="S16" i="16" s="1"/>
  <c r="Q15" i="16"/>
  <c r="O15" i="16"/>
  <c r="U15" i="16" s="1"/>
  <c r="N15" i="16"/>
  <c r="I15" i="16"/>
  <c r="Q14" i="16"/>
  <c r="O14" i="16"/>
  <c r="U14" i="16" s="1"/>
  <c r="N14" i="16"/>
  <c r="I14" i="16"/>
  <c r="S14" i="16" s="1"/>
  <c r="Q13" i="16"/>
  <c r="O13" i="16"/>
  <c r="U13" i="16" s="1"/>
  <c r="N13" i="16"/>
  <c r="I13" i="16"/>
  <c r="S13" i="16" s="1"/>
  <c r="Q12" i="16"/>
  <c r="O12" i="16"/>
  <c r="U12" i="16" s="1"/>
  <c r="N12" i="16"/>
  <c r="I12" i="16"/>
  <c r="P12" i="16" s="1"/>
  <c r="Q11" i="16"/>
  <c r="O11" i="16"/>
  <c r="U11" i="16" s="1"/>
  <c r="N11" i="16"/>
  <c r="I11" i="16"/>
  <c r="S11" i="16" s="1"/>
  <c r="Q10" i="16"/>
  <c r="O10" i="16"/>
  <c r="U10" i="16" s="1"/>
  <c r="N10" i="16"/>
  <c r="I10" i="16"/>
  <c r="Q9" i="16"/>
  <c r="O9" i="16"/>
  <c r="U9" i="16" s="1"/>
  <c r="N9" i="16"/>
  <c r="I9" i="16"/>
  <c r="S9" i="16" s="1"/>
  <c r="Q8" i="16"/>
  <c r="O8" i="16"/>
  <c r="U8" i="16" s="1"/>
  <c r="N8" i="16"/>
  <c r="I8" i="16"/>
  <c r="S8" i="16" s="1"/>
  <c r="Q7" i="16"/>
  <c r="O7" i="16"/>
  <c r="U7" i="16" s="1"/>
  <c r="N7" i="16"/>
  <c r="I7" i="16"/>
  <c r="S7" i="16" s="1"/>
  <c r="Q6" i="16"/>
  <c r="O6" i="16"/>
  <c r="N6" i="16"/>
  <c r="I6" i="16"/>
  <c r="S6" i="16" s="1"/>
  <c r="Q5" i="16"/>
  <c r="O5" i="16"/>
  <c r="N5" i="16"/>
  <c r="I5" i="16"/>
  <c r="S5" i="16" s="1"/>
  <c r="Q4" i="16"/>
  <c r="O4" i="16"/>
  <c r="U4" i="16" s="1"/>
  <c r="N4" i="16"/>
  <c r="I4" i="16"/>
  <c r="Q3" i="16"/>
  <c r="O3" i="16"/>
  <c r="N3" i="16"/>
  <c r="I3" i="16"/>
  <c r="O2" i="16"/>
  <c r="U2" i="16" s="1"/>
  <c r="N2" i="16"/>
  <c r="I2" i="16"/>
  <c r="P5" i="16" l="1"/>
  <c r="AF5" i="16" s="1"/>
  <c r="AG5" i="16" s="1"/>
  <c r="P13" i="16"/>
  <c r="K7" i="16"/>
  <c r="K13" i="16"/>
  <c r="K5" i="16"/>
  <c r="J5" i="16"/>
  <c r="J7" i="16"/>
  <c r="J9" i="16"/>
  <c r="R12" i="16"/>
  <c r="W12" i="16" s="1"/>
  <c r="Y12" i="16" s="1"/>
  <c r="AF12" i="16"/>
  <c r="AG12" i="16" s="1"/>
  <c r="K17" i="16"/>
  <c r="S17" i="16"/>
  <c r="K6" i="16"/>
  <c r="J18" i="16"/>
  <c r="S18" i="16"/>
  <c r="J8" i="16"/>
  <c r="K8" i="16"/>
  <c r="P17" i="16"/>
  <c r="R13" i="16"/>
  <c r="W13" i="16" s="1"/>
  <c r="Y13" i="16" s="1"/>
  <c r="AF13" i="16"/>
  <c r="AG13" i="16" s="1"/>
  <c r="K12" i="16"/>
  <c r="K9" i="16"/>
  <c r="K3" i="16"/>
  <c r="S3" i="16"/>
  <c r="J6" i="16"/>
  <c r="P14" i="16"/>
  <c r="J19" i="16"/>
  <c r="J14" i="16"/>
  <c r="J12" i="16"/>
  <c r="S12" i="16"/>
  <c r="T12" i="16" s="1"/>
  <c r="E12" i="16" s="1"/>
  <c r="L12" i="16" s="1"/>
  <c r="P18" i="16"/>
  <c r="K19" i="16"/>
  <c r="R19" i="16"/>
  <c r="W19" i="16" s="1"/>
  <c r="Y19" i="16" s="1"/>
  <c r="AF19" i="16"/>
  <c r="AG19" i="16" s="1"/>
  <c r="K14" i="16"/>
  <c r="P8" i="16"/>
  <c r="P3" i="16"/>
  <c r="P6" i="16"/>
  <c r="K4" i="16"/>
  <c r="S4" i="16"/>
  <c r="K15" i="16"/>
  <c r="S15" i="16"/>
  <c r="P4" i="16"/>
  <c r="AF4" i="16" s="1"/>
  <c r="AG4" i="16" s="1"/>
  <c r="P7" i="16"/>
  <c r="K10" i="16"/>
  <c r="S10" i="16"/>
  <c r="J13" i="16"/>
  <c r="J2" i="16"/>
  <c r="S2" i="16"/>
  <c r="P2" i="16"/>
  <c r="T19" i="16"/>
  <c r="E19" i="16"/>
  <c r="L19" i="16" s="1"/>
  <c r="K20" i="16"/>
  <c r="K21" i="16"/>
  <c r="J21" i="16"/>
  <c r="P20" i="16"/>
  <c r="J17" i="16"/>
  <c r="J20" i="16"/>
  <c r="P21" i="16"/>
  <c r="K16" i="16"/>
  <c r="P15" i="16"/>
  <c r="P16" i="16"/>
  <c r="J15" i="16"/>
  <c r="J16" i="16"/>
  <c r="J11" i="16"/>
  <c r="K11" i="16"/>
  <c r="P9" i="16"/>
  <c r="P10" i="16"/>
  <c r="P11" i="16"/>
  <c r="J10" i="16"/>
  <c r="R5" i="16"/>
  <c r="T5" i="16" s="1"/>
  <c r="U6" i="16"/>
  <c r="U3" i="16"/>
  <c r="U5" i="16"/>
  <c r="J3" i="16"/>
  <c r="J4" i="16"/>
  <c r="K2" i="16"/>
  <c r="Z37" i="14"/>
  <c r="Q37" i="14"/>
  <c r="O37" i="14"/>
  <c r="N37" i="14"/>
  <c r="I37" i="14"/>
  <c r="G37" i="14"/>
  <c r="Z36" i="14"/>
  <c r="Q36" i="14"/>
  <c r="O36" i="14"/>
  <c r="N36" i="14"/>
  <c r="I36" i="14"/>
  <c r="J36" i="14" s="1"/>
  <c r="G36" i="14"/>
  <c r="Z35" i="14"/>
  <c r="Q35" i="14"/>
  <c r="O35" i="14"/>
  <c r="N35" i="14"/>
  <c r="I35" i="14"/>
  <c r="K35" i="14" s="1"/>
  <c r="G35" i="14"/>
  <c r="Z34" i="14"/>
  <c r="Q34" i="14"/>
  <c r="O34" i="14"/>
  <c r="N34" i="14"/>
  <c r="I34" i="14"/>
  <c r="G34" i="14"/>
  <c r="Z33" i="14"/>
  <c r="Q33" i="14"/>
  <c r="O33" i="14"/>
  <c r="N33" i="14"/>
  <c r="I33" i="14"/>
  <c r="P33" i="14" s="1"/>
  <c r="R33" i="14" s="1"/>
  <c r="W33" i="14" s="1"/>
  <c r="Y33" i="14" s="1"/>
  <c r="G33" i="14"/>
  <c r="Z32" i="14"/>
  <c r="Q32" i="14"/>
  <c r="O32" i="14"/>
  <c r="N32" i="14"/>
  <c r="I32" i="14"/>
  <c r="P32" i="14" s="1"/>
  <c r="G32" i="14"/>
  <c r="Z31" i="14"/>
  <c r="Q31" i="14"/>
  <c r="O31" i="14"/>
  <c r="N31" i="14"/>
  <c r="I31" i="14"/>
  <c r="P31" i="14" s="1"/>
  <c r="G31" i="14"/>
  <c r="Z30" i="14"/>
  <c r="Q30" i="14"/>
  <c r="O30" i="14"/>
  <c r="N30" i="14"/>
  <c r="I30" i="14"/>
  <c r="G30" i="14"/>
  <c r="Z29" i="14"/>
  <c r="Q29" i="14"/>
  <c r="O29" i="14"/>
  <c r="N29" i="14"/>
  <c r="I29" i="14"/>
  <c r="K29" i="14" s="1"/>
  <c r="G29" i="14"/>
  <c r="Z28" i="14"/>
  <c r="Q28" i="14"/>
  <c r="O28" i="14"/>
  <c r="N28" i="14"/>
  <c r="I28" i="14"/>
  <c r="G28" i="14"/>
  <c r="Z27" i="14"/>
  <c r="Q27" i="14"/>
  <c r="O27" i="14"/>
  <c r="N27" i="14"/>
  <c r="I27" i="14"/>
  <c r="K27" i="14" s="1"/>
  <c r="G27" i="14"/>
  <c r="Z26" i="14"/>
  <c r="Q26" i="14"/>
  <c r="O26" i="14"/>
  <c r="N26" i="14"/>
  <c r="I26" i="14"/>
  <c r="P26" i="14" s="1"/>
  <c r="G26" i="14"/>
  <c r="Z25" i="14"/>
  <c r="Q25" i="14"/>
  <c r="O25" i="14"/>
  <c r="N25" i="14"/>
  <c r="I25" i="14"/>
  <c r="G25" i="14"/>
  <c r="Z24" i="14"/>
  <c r="Q24" i="14"/>
  <c r="O24" i="14"/>
  <c r="N24" i="14"/>
  <c r="I24" i="14"/>
  <c r="G24" i="14"/>
  <c r="Z23" i="14"/>
  <c r="Q23" i="14"/>
  <c r="O23" i="14"/>
  <c r="N23" i="14"/>
  <c r="I23" i="14"/>
  <c r="P23" i="14" s="1"/>
  <c r="G23" i="14"/>
  <c r="Z22" i="14"/>
  <c r="Q22" i="14"/>
  <c r="O22" i="14"/>
  <c r="N22" i="14"/>
  <c r="I22" i="14"/>
  <c r="P22" i="14" s="1"/>
  <c r="G22" i="14"/>
  <c r="Z21" i="14"/>
  <c r="Q21" i="14"/>
  <c r="O21" i="14"/>
  <c r="N21" i="14"/>
  <c r="I21" i="14"/>
  <c r="G21" i="14"/>
  <c r="Z20" i="14"/>
  <c r="Q20" i="14"/>
  <c r="O20" i="14"/>
  <c r="N20" i="14"/>
  <c r="I20" i="14"/>
  <c r="G20" i="14"/>
  <c r="Z19" i="14"/>
  <c r="Q19" i="14"/>
  <c r="O19" i="14"/>
  <c r="N19" i="14"/>
  <c r="I19" i="14"/>
  <c r="G19" i="14"/>
  <c r="Z18" i="14"/>
  <c r="Q18" i="14"/>
  <c r="O18" i="14"/>
  <c r="N18" i="14"/>
  <c r="I18" i="14"/>
  <c r="G18" i="14"/>
  <c r="Z17" i="14"/>
  <c r="Q17" i="14"/>
  <c r="O17" i="14"/>
  <c r="N17" i="14"/>
  <c r="I17" i="14"/>
  <c r="P17" i="14" s="1"/>
  <c r="G17" i="14"/>
  <c r="Z16" i="14"/>
  <c r="Q16" i="14"/>
  <c r="O16" i="14"/>
  <c r="N16" i="14"/>
  <c r="I16" i="14"/>
  <c r="G16" i="14"/>
  <c r="Z15" i="14"/>
  <c r="Q15" i="14"/>
  <c r="O15" i="14"/>
  <c r="N15" i="14"/>
  <c r="I15" i="14"/>
  <c r="P15" i="14" s="1"/>
  <c r="G15" i="14"/>
  <c r="Z14" i="14"/>
  <c r="Q14" i="14"/>
  <c r="O14" i="14"/>
  <c r="N14" i="14"/>
  <c r="I14" i="14"/>
  <c r="G14" i="14"/>
  <c r="Z13" i="14"/>
  <c r="Q13" i="14"/>
  <c r="O13" i="14"/>
  <c r="N13" i="14"/>
  <c r="I13" i="14"/>
  <c r="G13" i="14"/>
  <c r="Z12" i="14"/>
  <c r="Q12" i="14"/>
  <c r="O12" i="14"/>
  <c r="N12" i="14"/>
  <c r="I12" i="14"/>
  <c r="G12" i="14"/>
  <c r="Z11" i="14"/>
  <c r="Q11" i="14"/>
  <c r="O11" i="14"/>
  <c r="N11" i="14"/>
  <c r="I11" i="14"/>
  <c r="G11" i="14"/>
  <c r="Z2" i="14"/>
  <c r="Z3" i="14"/>
  <c r="Z4" i="14"/>
  <c r="Z5" i="14"/>
  <c r="Z6" i="14"/>
  <c r="Z7" i="14"/>
  <c r="Z8" i="14"/>
  <c r="Z9" i="14"/>
  <c r="Z10" i="14"/>
  <c r="G2" i="14"/>
  <c r="G3" i="14"/>
  <c r="G4" i="14"/>
  <c r="G5" i="14"/>
  <c r="G6" i="14"/>
  <c r="G7" i="14"/>
  <c r="G8" i="14"/>
  <c r="G9" i="14"/>
  <c r="G10" i="14"/>
  <c r="I2" i="14"/>
  <c r="O2" i="14"/>
  <c r="U2" i="14" s="1"/>
  <c r="Q2" i="14"/>
  <c r="I3" i="14"/>
  <c r="N3" i="14"/>
  <c r="O3" i="14"/>
  <c r="Q3" i="14"/>
  <c r="I4" i="14"/>
  <c r="K4" i="14" s="1"/>
  <c r="N4" i="14"/>
  <c r="O4" i="14"/>
  <c r="U4" i="14" s="1"/>
  <c r="Q4" i="14"/>
  <c r="I5" i="14"/>
  <c r="K5" i="14" s="1"/>
  <c r="N5" i="14"/>
  <c r="O5" i="14"/>
  <c r="P5" i="14"/>
  <c r="Q5" i="14"/>
  <c r="I6" i="14"/>
  <c r="K6" i="14" s="1"/>
  <c r="N6" i="14"/>
  <c r="O6" i="14"/>
  <c r="Q6" i="14"/>
  <c r="I7" i="14"/>
  <c r="N7" i="14"/>
  <c r="O7" i="14"/>
  <c r="Q7" i="14"/>
  <c r="I8" i="14"/>
  <c r="K8" i="14" s="1"/>
  <c r="N8" i="14"/>
  <c r="O8" i="14"/>
  <c r="Q8" i="14"/>
  <c r="I9" i="14"/>
  <c r="K9" i="14"/>
  <c r="N9" i="14"/>
  <c r="O9" i="14"/>
  <c r="Q9" i="14"/>
  <c r="I10" i="14"/>
  <c r="P10" i="14" s="1"/>
  <c r="K10" i="14"/>
  <c r="N10" i="14"/>
  <c r="O10" i="14"/>
  <c r="U10" i="14" s="1"/>
  <c r="Q10" i="14"/>
  <c r="Z2" i="9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R4" i="16" l="1"/>
  <c r="W4" i="16" s="1"/>
  <c r="Y4" i="16" s="1"/>
  <c r="T4" i="16"/>
  <c r="E4" i="16" s="1"/>
  <c r="L4" i="16" s="1"/>
  <c r="R17" i="16"/>
  <c r="AF17" i="16"/>
  <c r="AG17" i="16" s="1"/>
  <c r="R15" i="16"/>
  <c r="AF15" i="16"/>
  <c r="AG15" i="16" s="1"/>
  <c r="R6" i="16"/>
  <c r="AF6" i="16"/>
  <c r="AG6" i="16" s="1"/>
  <c r="R3" i="16"/>
  <c r="W3" i="16" s="1"/>
  <c r="Y3" i="16" s="1"/>
  <c r="AF3" i="16"/>
  <c r="AG3" i="16" s="1"/>
  <c r="R11" i="16"/>
  <c r="W11" i="16" s="1"/>
  <c r="Y11" i="16" s="1"/>
  <c r="AF11" i="16"/>
  <c r="AG11" i="16" s="1"/>
  <c r="T13" i="16"/>
  <c r="E13" i="16" s="1"/>
  <c r="L13" i="16" s="1"/>
  <c r="R10" i="16"/>
  <c r="AF10" i="16"/>
  <c r="AG10" i="16" s="1"/>
  <c r="R7" i="16"/>
  <c r="AF7" i="16"/>
  <c r="AG7" i="16" s="1"/>
  <c r="R9" i="16"/>
  <c r="W9" i="16" s="1"/>
  <c r="Y9" i="16" s="1"/>
  <c r="AF9" i="16"/>
  <c r="AG9" i="16" s="1"/>
  <c r="W5" i="16"/>
  <c r="Y5" i="16" s="1"/>
  <c r="R20" i="16"/>
  <c r="W20" i="16" s="1"/>
  <c r="Y20" i="16" s="1"/>
  <c r="AF20" i="16"/>
  <c r="AG20" i="16" s="1"/>
  <c r="R18" i="16"/>
  <c r="AF18" i="16"/>
  <c r="AG18" i="16" s="1"/>
  <c r="R21" i="16"/>
  <c r="AF21" i="16"/>
  <c r="AG21" i="16" s="1"/>
  <c r="R14" i="16"/>
  <c r="AF14" i="16"/>
  <c r="AG14" i="16" s="1"/>
  <c r="R16" i="16"/>
  <c r="W16" i="16" s="1"/>
  <c r="Y16" i="16" s="1"/>
  <c r="AF16" i="16"/>
  <c r="AG16" i="16" s="1"/>
  <c r="R8" i="16"/>
  <c r="AF8" i="16"/>
  <c r="AG8" i="16" s="1"/>
  <c r="AF2" i="16"/>
  <c r="AG2" i="16" s="1"/>
  <c r="R2" i="16"/>
  <c r="W2" i="16" s="1"/>
  <c r="Y2" i="16" s="1"/>
  <c r="U13" i="14"/>
  <c r="U5" i="14"/>
  <c r="S9" i="14"/>
  <c r="U12" i="14"/>
  <c r="J18" i="14"/>
  <c r="U7" i="14"/>
  <c r="R17" i="14"/>
  <c r="U20" i="14"/>
  <c r="R32" i="14"/>
  <c r="W32" i="14" s="1"/>
  <c r="Y32" i="14" s="1"/>
  <c r="R22" i="14"/>
  <c r="W22" i="14" s="1"/>
  <c r="Y22" i="14" s="1"/>
  <c r="U32" i="14"/>
  <c r="U8" i="14"/>
  <c r="U22" i="14"/>
  <c r="U31" i="14"/>
  <c r="R31" i="14"/>
  <c r="W31" i="14" s="1"/>
  <c r="Y31" i="14" s="1"/>
  <c r="U34" i="14"/>
  <c r="U21" i="14"/>
  <c r="U3" i="14"/>
  <c r="S19" i="14"/>
  <c r="K17" i="14"/>
  <c r="U33" i="14"/>
  <c r="U11" i="14"/>
  <c r="R23" i="14"/>
  <c r="W23" i="14" s="1"/>
  <c r="Y23" i="14" s="1"/>
  <c r="U29" i="14"/>
  <c r="U6" i="14"/>
  <c r="U30" i="14"/>
  <c r="R15" i="14"/>
  <c r="W15" i="14" s="1"/>
  <c r="Y15" i="14" s="1"/>
  <c r="U23" i="14"/>
  <c r="R26" i="14"/>
  <c r="W26" i="14" s="1"/>
  <c r="Y26" i="14" s="1"/>
  <c r="R5" i="14"/>
  <c r="W5" i="14" s="1"/>
  <c r="Y5" i="14" s="1"/>
  <c r="AF5" i="14"/>
  <c r="AG5" i="14" s="1"/>
  <c r="K24" i="14"/>
  <c r="S24" i="14"/>
  <c r="K13" i="14"/>
  <c r="S13" i="14"/>
  <c r="P11" i="14"/>
  <c r="R11" i="14" s="1"/>
  <c r="W11" i="14" s="1"/>
  <c r="Y11" i="14" s="1"/>
  <c r="S11" i="14"/>
  <c r="T11" i="14" s="1"/>
  <c r="U15" i="14"/>
  <c r="W17" i="14"/>
  <c r="Y17" i="14" s="1"/>
  <c r="J20" i="14"/>
  <c r="S20" i="14"/>
  <c r="U24" i="14"/>
  <c r="U26" i="14"/>
  <c r="U28" i="14"/>
  <c r="S37" i="14"/>
  <c r="J11" i="14"/>
  <c r="AF17" i="14"/>
  <c r="AG17" i="14" s="1"/>
  <c r="P24" i="14"/>
  <c r="R24" i="14" s="1"/>
  <c r="W24" i="14" s="1"/>
  <c r="Y24" i="14" s="1"/>
  <c r="P29" i="14"/>
  <c r="R29" i="14" s="1"/>
  <c r="W29" i="14" s="1"/>
  <c r="Y29" i="14" s="1"/>
  <c r="S29" i="14"/>
  <c r="K33" i="14"/>
  <c r="S33" i="14"/>
  <c r="T33" i="14" s="1"/>
  <c r="J35" i="14"/>
  <c r="S5" i="14"/>
  <c r="P13" i="14"/>
  <c r="R13" i="14" s="1"/>
  <c r="W13" i="14" s="1"/>
  <c r="Y13" i="14" s="1"/>
  <c r="AF15" i="14"/>
  <c r="AG15" i="14" s="1"/>
  <c r="AF22" i="14"/>
  <c r="AG22" i="14" s="1"/>
  <c r="AF26" i="14"/>
  <c r="AG26" i="14" s="1"/>
  <c r="J29" i="14"/>
  <c r="K31" i="14"/>
  <c r="S31" i="14"/>
  <c r="U35" i="14"/>
  <c r="U37" i="14"/>
  <c r="J22" i="14"/>
  <c r="S22" i="14"/>
  <c r="P8" i="14"/>
  <c r="AF8" i="14" s="1"/>
  <c r="AG8" i="14" s="1"/>
  <c r="S8" i="14"/>
  <c r="R10" i="14"/>
  <c r="W10" i="14" s="1"/>
  <c r="Y10" i="14" s="1"/>
  <c r="AF10" i="14"/>
  <c r="AG10" i="14" s="1"/>
  <c r="AF33" i="14"/>
  <c r="AG33" i="14" s="1"/>
  <c r="U16" i="14"/>
  <c r="P21" i="14"/>
  <c r="R21" i="14" s="1"/>
  <c r="W21" i="14" s="1"/>
  <c r="Y21" i="14" s="1"/>
  <c r="S21" i="14"/>
  <c r="T21" i="14" s="1"/>
  <c r="U25" i="14"/>
  <c r="S36" i="14"/>
  <c r="AF32" i="14"/>
  <c r="AG32" i="14" s="1"/>
  <c r="S35" i="14"/>
  <c r="P35" i="14"/>
  <c r="R35" i="14" s="1"/>
  <c r="W35" i="14" s="1"/>
  <c r="Y35" i="14" s="1"/>
  <c r="K34" i="14"/>
  <c r="S34" i="14"/>
  <c r="K15" i="14"/>
  <c r="S15" i="14"/>
  <c r="S28" i="14"/>
  <c r="K25" i="14"/>
  <c r="S25" i="14"/>
  <c r="P25" i="14"/>
  <c r="R25" i="14" s="1"/>
  <c r="W25" i="14" s="1"/>
  <c r="Y25" i="14" s="1"/>
  <c r="S10" i="14"/>
  <c r="T10" i="14" s="1"/>
  <c r="E10" i="14" s="1"/>
  <c r="L10" i="14" s="1"/>
  <c r="U14" i="14"/>
  <c r="P18" i="14"/>
  <c r="R18" i="14" s="1"/>
  <c r="W18" i="14" s="1"/>
  <c r="Y18" i="14" s="1"/>
  <c r="U27" i="14"/>
  <c r="K36" i="14"/>
  <c r="J26" i="14"/>
  <c r="S26" i="14"/>
  <c r="T26" i="14" s="1"/>
  <c r="U17" i="14"/>
  <c r="J4" i="14"/>
  <c r="K16" i="14"/>
  <c r="S16" i="14"/>
  <c r="S27" i="14"/>
  <c r="K18" i="14"/>
  <c r="K23" i="14"/>
  <c r="S23" i="14"/>
  <c r="J27" i="14"/>
  <c r="J10" i="14"/>
  <c r="K14" i="14"/>
  <c r="S14" i="14"/>
  <c r="P12" i="14"/>
  <c r="R12" i="14" s="1"/>
  <c r="W12" i="14" s="1"/>
  <c r="Y12" i="14" s="1"/>
  <c r="S12" i="14"/>
  <c r="P16" i="14"/>
  <c r="R16" i="14" s="1"/>
  <c r="W16" i="14" s="1"/>
  <c r="Y16" i="14" s="1"/>
  <c r="U18" i="14"/>
  <c r="P14" i="14"/>
  <c r="R14" i="14" s="1"/>
  <c r="W14" i="14" s="1"/>
  <c r="Y14" i="14" s="1"/>
  <c r="AF23" i="14"/>
  <c r="AG23" i="14" s="1"/>
  <c r="P27" i="14"/>
  <c r="R27" i="14" s="1"/>
  <c r="W27" i="14" s="1"/>
  <c r="Y27" i="14" s="1"/>
  <c r="K32" i="14"/>
  <c r="S32" i="14"/>
  <c r="AF31" i="14"/>
  <c r="AG31" i="14" s="1"/>
  <c r="S3" i="14"/>
  <c r="P30" i="14"/>
  <c r="R30" i="14" s="1"/>
  <c r="W30" i="14" s="1"/>
  <c r="Y30" i="14" s="1"/>
  <c r="S30" i="14"/>
  <c r="P34" i="14"/>
  <c r="R34" i="14" s="1"/>
  <c r="W34" i="14" s="1"/>
  <c r="Y34" i="14" s="1"/>
  <c r="U36" i="14"/>
  <c r="K2" i="14"/>
  <c r="S2" i="14"/>
  <c r="K26" i="14"/>
  <c r="U19" i="14"/>
  <c r="S18" i="14"/>
  <c r="S7" i="14"/>
  <c r="P4" i="14"/>
  <c r="R4" i="14" s="1"/>
  <c r="W4" i="14" s="1"/>
  <c r="Y4" i="14" s="1"/>
  <c r="S4" i="14"/>
  <c r="S6" i="14"/>
  <c r="J17" i="14"/>
  <c r="S17" i="14"/>
  <c r="P36" i="14"/>
  <c r="R36" i="14" s="1"/>
  <c r="W36" i="14" s="1"/>
  <c r="Y36" i="14" s="1"/>
  <c r="T20" i="16"/>
  <c r="E20" i="16" s="1"/>
  <c r="L20" i="16" s="1"/>
  <c r="T11" i="16"/>
  <c r="E11" i="16" s="1"/>
  <c r="L11" i="16" s="1"/>
  <c r="T9" i="16"/>
  <c r="E9" i="16" s="1"/>
  <c r="L9" i="16" s="1"/>
  <c r="E5" i="16"/>
  <c r="L5" i="16" s="1"/>
  <c r="K37" i="14"/>
  <c r="J30" i="14"/>
  <c r="J31" i="14"/>
  <c r="J33" i="14"/>
  <c r="J34" i="14"/>
  <c r="J37" i="14"/>
  <c r="P37" i="14"/>
  <c r="R37" i="14" s="1"/>
  <c r="W37" i="14" s="1"/>
  <c r="Y37" i="14" s="1"/>
  <c r="K30" i="14"/>
  <c r="J32" i="14"/>
  <c r="K28" i="14"/>
  <c r="J28" i="14"/>
  <c r="K20" i="14"/>
  <c r="K21" i="14"/>
  <c r="K22" i="14"/>
  <c r="J24" i="14"/>
  <c r="P20" i="14"/>
  <c r="R20" i="14" s="1"/>
  <c r="W20" i="14" s="1"/>
  <c r="Y20" i="14" s="1"/>
  <c r="J25" i="14"/>
  <c r="P28" i="14"/>
  <c r="R28" i="14" s="1"/>
  <c r="W28" i="14" s="1"/>
  <c r="Y28" i="14" s="1"/>
  <c r="J21" i="14"/>
  <c r="J23" i="14"/>
  <c r="J19" i="14"/>
  <c r="K19" i="14"/>
  <c r="P19" i="14"/>
  <c r="R19" i="14" s="1"/>
  <c r="W19" i="14" s="1"/>
  <c r="Y19" i="14" s="1"/>
  <c r="K11" i="14"/>
  <c r="J12" i="14"/>
  <c r="K12" i="14"/>
  <c r="J13" i="14"/>
  <c r="J14" i="14"/>
  <c r="J15" i="14"/>
  <c r="J16" i="14"/>
  <c r="U9" i="14"/>
  <c r="J5" i="14"/>
  <c r="P6" i="14"/>
  <c r="R6" i="14" s="1"/>
  <c r="W6" i="14" s="1"/>
  <c r="Y6" i="14" s="1"/>
  <c r="J7" i="14"/>
  <c r="J9" i="14"/>
  <c r="P3" i="14"/>
  <c r="R3" i="14" s="1"/>
  <c r="W3" i="14" s="1"/>
  <c r="Y3" i="14" s="1"/>
  <c r="J2" i="14"/>
  <c r="P2" i="14"/>
  <c r="R2" i="14" s="1"/>
  <c r="Y2" i="14" s="1"/>
  <c r="K3" i="14"/>
  <c r="J3" i="14"/>
  <c r="J6" i="14"/>
  <c r="J8" i="14"/>
  <c r="P7" i="14"/>
  <c r="R7" i="14" s="1"/>
  <c r="W7" i="14" s="1"/>
  <c r="Y7" i="14" s="1"/>
  <c r="P9" i="14"/>
  <c r="R9" i="14" s="1"/>
  <c r="W9" i="14" s="1"/>
  <c r="Y9" i="14" s="1"/>
  <c r="K7" i="14"/>
  <c r="Z3" i="9"/>
  <c r="Z4" i="9"/>
  <c r="Z5" i="9"/>
  <c r="Z6" i="9"/>
  <c r="Z7" i="9"/>
  <c r="Z8" i="9"/>
  <c r="Z9" i="9"/>
  <c r="Z10" i="9"/>
  <c r="Z11" i="9"/>
  <c r="Z12" i="9"/>
  <c r="Z13" i="9"/>
  <c r="Z14" i="9"/>
  <c r="Z15" i="9"/>
  <c r="Z16" i="9"/>
  <c r="Z17" i="9"/>
  <c r="Z18" i="9"/>
  <c r="Z19" i="9"/>
  <c r="Z20" i="9"/>
  <c r="Z21" i="9"/>
  <c r="Z22" i="9"/>
  <c r="Z23" i="9"/>
  <c r="Z24" i="9"/>
  <c r="Z25" i="9"/>
  <c r="Z26" i="9"/>
  <c r="Z27" i="9"/>
  <c r="Z28" i="9"/>
  <c r="Z29" i="9"/>
  <c r="Z30" i="9"/>
  <c r="Z31" i="9"/>
  <c r="Z32" i="9"/>
  <c r="Z33" i="9"/>
  <c r="Z34" i="9"/>
  <c r="Z35" i="9"/>
  <c r="Z36" i="9"/>
  <c r="Z37" i="9"/>
  <c r="Z38" i="9"/>
  <c r="Z39" i="9"/>
  <c r="Z40" i="9"/>
  <c r="Z41" i="9"/>
  <c r="Z42" i="9"/>
  <c r="Z43" i="9"/>
  <c r="Z44" i="9"/>
  <c r="Z45" i="9"/>
  <c r="Z46" i="9"/>
  <c r="Z47" i="9"/>
  <c r="Z48" i="9"/>
  <c r="Z49" i="9"/>
  <c r="Z50" i="9"/>
  <c r="Z51" i="9"/>
  <c r="Z52" i="9"/>
  <c r="Z53" i="9"/>
  <c r="Z54" i="9"/>
  <c r="Z55" i="9"/>
  <c r="Z56" i="9"/>
  <c r="Q56" i="9"/>
  <c r="P56" i="9"/>
  <c r="O56" i="9"/>
  <c r="N56" i="9"/>
  <c r="L56" i="9"/>
  <c r="I56" i="9"/>
  <c r="Q55" i="9"/>
  <c r="O55" i="9"/>
  <c r="N55" i="9"/>
  <c r="L55" i="9"/>
  <c r="I55" i="9"/>
  <c r="Q54" i="9"/>
  <c r="O54" i="9"/>
  <c r="N54" i="9"/>
  <c r="L54" i="9"/>
  <c r="I54" i="9"/>
  <c r="P54" i="9" s="1"/>
  <c r="Q53" i="9"/>
  <c r="O53" i="9"/>
  <c r="N53" i="9"/>
  <c r="L53" i="9"/>
  <c r="I53" i="9"/>
  <c r="S53" i="9" s="1"/>
  <c r="Q52" i="9"/>
  <c r="O52" i="9"/>
  <c r="N52" i="9"/>
  <c r="L52" i="9"/>
  <c r="I52" i="9"/>
  <c r="S52" i="9" s="1"/>
  <c r="Q51" i="9"/>
  <c r="O51" i="9"/>
  <c r="N51" i="9"/>
  <c r="L51" i="9"/>
  <c r="I51" i="9"/>
  <c r="Q50" i="9"/>
  <c r="O50" i="9"/>
  <c r="N50" i="9"/>
  <c r="L50" i="9"/>
  <c r="I50" i="9"/>
  <c r="Q49" i="9"/>
  <c r="O49" i="9"/>
  <c r="N49" i="9"/>
  <c r="L49" i="9"/>
  <c r="I49" i="9"/>
  <c r="Q48" i="9"/>
  <c r="O48" i="9"/>
  <c r="N48" i="9"/>
  <c r="L48" i="9"/>
  <c r="I48" i="9"/>
  <c r="Q47" i="9"/>
  <c r="P47" i="9"/>
  <c r="AF47" i="9" s="1"/>
  <c r="AG47" i="9" s="1"/>
  <c r="O47" i="9"/>
  <c r="N47" i="9"/>
  <c r="L47" i="9"/>
  <c r="I47" i="9"/>
  <c r="Q46" i="9"/>
  <c r="O46" i="9"/>
  <c r="N46" i="9"/>
  <c r="L46" i="9"/>
  <c r="I46" i="9"/>
  <c r="S46" i="9" s="1"/>
  <c r="Q45" i="9"/>
  <c r="O45" i="9"/>
  <c r="N45" i="9"/>
  <c r="L45" i="9"/>
  <c r="I45" i="9"/>
  <c r="S45" i="9" s="1"/>
  <c r="Q44" i="9"/>
  <c r="O44" i="9"/>
  <c r="N44" i="9"/>
  <c r="L44" i="9"/>
  <c r="I44" i="9"/>
  <c r="Q43" i="9"/>
  <c r="O43" i="9"/>
  <c r="N43" i="9"/>
  <c r="L43" i="9"/>
  <c r="I43" i="9"/>
  <c r="P43" i="9" s="1"/>
  <c r="Q42" i="9"/>
  <c r="O42" i="9"/>
  <c r="N42" i="9"/>
  <c r="L42" i="9"/>
  <c r="I42" i="9"/>
  <c r="S42" i="9" s="1"/>
  <c r="Q41" i="9"/>
  <c r="O41" i="9"/>
  <c r="N41" i="9"/>
  <c r="L41" i="9"/>
  <c r="I41" i="9"/>
  <c r="Q40" i="9"/>
  <c r="O40" i="9"/>
  <c r="N40" i="9"/>
  <c r="L40" i="9"/>
  <c r="I40" i="9"/>
  <c r="Q39" i="9"/>
  <c r="O39" i="9"/>
  <c r="N39" i="9"/>
  <c r="L39" i="9"/>
  <c r="I39" i="9"/>
  <c r="Q38" i="9"/>
  <c r="O38" i="9"/>
  <c r="N38" i="9"/>
  <c r="L38" i="9"/>
  <c r="I38" i="9"/>
  <c r="Q37" i="9"/>
  <c r="O37" i="9"/>
  <c r="N37" i="9"/>
  <c r="L37" i="9"/>
  <c r="I37" i="9"/>
  <c r="S37" i="9" s="1"/>
  <c r="Q36" i="9"/>
  <c r="O36" i="9"/>
  <c r="N36" i="9"/>
  <c r="L36" i="9"/>
  <c r="I36" i="9"/>
  <c r="P36" i="9" s="1"/>
  <c r="Q35" i="9"/>
  <c r="O35" i="9"/>
  <c r="N35" i="9"/>
  <c r="L35" i="9"/>
  <c r="I35" i="9"/>
  <c r="Q34" i="9"/>
  <c r="O34" i="9"/>
  <c r="N34" i="9"/>
  <c r="L34" i="9"/>
  <c r="I34" i="9"/>
  <c r="P34" i="9" s="1"/>
  <c r="Q33" i="9"/>
  <c r="O33" i="9"/>
  <c r="N33" i="9"/>
  <c r="L33" i="9"/>
  <c r="I33" i="9"/>
  <c r="S33" i="9" s="1"/>
  <c r="Q32" i="9"/>
  <c r="O32" i="9"/>
  <c r="N32" i="9"/>
  <c r="L32" i="9"/>
  <c r="I32" i="9"/>
  <c r="P32" i="9" s="1"/>
  <c r="Q31" i="9"/>
  <c r="O31" i="9"/>
  <c r="N31" i="9"/>
  <c r="L31" i="9"/>
  <c r="I31" i="9"/>
  <c r="Q30" i="9"/>
  <c r="O30" i="9"/>
  <c r="N30" i="9"/>
  <c r="L30" i="9"/>
  <c r="I30" i="9"/>
  <c r="P30" i="9" s="1"/>
  <c r="Q29" i="9"/>
  <c r="O29" i="9"/>
  <c r="N29" i="9"/>
  <c r="L29" i="9"/>
  <c r="I29" i="9"/>
  <c r="Q28" i="9"/>
  <c r="O28" i="9"/>
  <c r="N28" i="9"/>
  <c r="L28" i="9"/>
  <c r="I28" i="9"/>
  <c r="S28" i="9" s="1"/>
  <c r="Q27" i="9"/>
  <c r="O27" i="9"/>
  <c r="N27" i="9"/>
  <c r="L27" i="9"/>
  <c r="I27" i="9"/>
  <c r="Q26" i="9"/>
  <c r="O26" i="9"/>
  <c r="N26" i="9"/>
  <c r="L26" i="9"/>
  <c r="I26" i="9"/>
  <c r="S26" i="9" s="1"/>
  <c r="Q25" i="9"/>
  <c r="O25" i="9"/>
  <c r="N25" i="9"/>
  <c r="L25" i="9"/>
  <c r="I25" i="9"/>
  <c r="P25" i="9" s="1"/>
  <c r="Q24" i="9"/>
  <c r="O24" i="9"/>
  <c r="N24" i="9"/>
  <c r="L24" i="9"/>
  <c r="I24" i="9"/>
  <c r="S24" i="9" s="1"/>
  <c r="Q23" i="9"/>
  <c r="O23" i="9"/>
  <c r="N23" i="9"/>
  <c r="L23" i="9"/>
  <c r="I23" i="9"/>
  <c r="S23" i="9" s="1"/>
  <c r="Q22" i="9"/>
  <c r="O22" i="9"/>
  <c r="N22" i="9"/>
  <c r="L22" i="9"/>
  <c r="I22" i="9"/>
  <c r="S22" i="9" s="1"/>
  <c r="Q21" i="9"/>
  <c r="O21" i="9"/>
  <c r="N21" i="9"/>
  <c r="L21" i="9"/>
  <c r="I21" i="9"/>
  <c r="P21" i="9" s="1"/>
  <c r="Q20" i="9"/>
  <c r="O20" i="9"/>
  <c r="N20" i="9"/>
  <c r="L20" i="9"/>
  <c r="I20" i="9"/>
  <c r="Q19" i="9"/>
  <c r="O19" i="9"/>
  <c r="N19" i="9"/>
  <c r="L19" i="9"/>
  <c r="I19" i="9"/>
  <c r="Q18" i="9"/>
  <c r="O18" i="9"/>
  <c r="N18" i="9"/>
  <c r="L18" i="9"/>
  <c r="I18" i="9"/>
  <c r="Q17" i="9"/>
  <c r="O17" i="9"/>
  <c r="N17" i="9"/>
  <c r="L17" i="9"/>
  <c r="I17" i="9"/>
  <c r="Q16" i="9"/>
  <c r="O16" i="9"/>
  <c r="N16" i="9"/>
  <c r="L16" i="9"/>
  <c r="I16" i="9"/>
  <c r="Q15" i="9"/>
  <c r="O15" i="9"/>
  <c r="N15" i="9"/>
  <c r="L15" i="9"/>
  <c r="I15" i="9"/>
  <c r="S15" i="9" s="1"/>
  <c r="Q14" i="9"/>
  <c r="O14" i="9"/>
  <c r="N14" i="9"/>
  <c r="L14" i="9"/>
  <c r="I14" i="9"/>
  <c r="P14" i="9" s="1"/>
  <c r="Q13" i="9"/>
  <c r="O13" i="9"/>
  <c r="N13" i="9"/>
  <c r="L13" i="9"/>
  <c r="I13" i="9"/>
  <c r="Q12" i="9"/>
  <c r="O12" i="9"/>
  <c r="N12" i="9"/>
  <c r="L12" i="9"/>
  <c r="I12" i="9"/>
  <c r="P12" i="9" s="1"/>
  <c r="Q11" i="9"/>
  <c r="O11" i="9"/>
  <c r="N11" i="9"/>
  <c r="L11" i="9"/>
  <c r="I11" i="9"/>
  <c r="S11" i="9" s="1"/>
  <c r="Q10" i="9"/>
  <c r="O10" i="9"/>
  <c r="N10" i="9"/>
  <c r="L10" i="9"/>
  <c r="I10" i="9"/>
  <c r="S10" i="9" s="1"/>
  <c r="Q9" i="9"/>
  <c r="O9" i="9"/>
  <c r="N9" i="9"/>
  <c r="L9" i="9"/>
  <c r="I9" i="9"/>
  <c r="S9" i="9" s="1"/>
  <c r="Q8" i="9"/>
  <c r="O8" i="9"/>
  <c r="N8" i="9"/>
  <c r="L8" i="9"/>
  <c r="I8" i="9"/>
  <c r="S8" i="9" s="1"/>
  <c r="Q7" i="9"/>
  <c r="O7" i="9"/>
  <c r="N7" i="9"/>
  <c r="L7" i="9"/>
  <c r="I7" i="9"/>
  <c r="P7" i="9" s="1"/>
  <c r="AF7" i="9" s="1"/>
  <c r="AG7" i="9" s="1"/>
  <c r="Q6" i="9"/>
  <c r="O6" i="9"/>
  <c r="N6" i="9"/>
  <c r="L6" i="9"/>
  <c r="I6" i="9"/>
  <c r="S6" i="9" s="1"/>
  <c r="Q5" i="9"/>
  <c r="O5" i="9"/>
  <c r="N5" i="9"/>
  <c r="L5" i="9"/>
  <c r="I5" i="9"/>
  <c r="P5" i="9" s="1"/>
  <c r="Q4" i="9"/>
  <c r="O4" i="9"/>
  <c r="N4" i="9"/>
  <c r="L4" i="9"/>
  <c r="I4" i="9"/>
  <c r="S4" i="9" s="1"/>
  <c r="Q3" i="9"/>
  <c r="P3" i="9"/>
  <c r="O3" i="9"/>
  <c r="N3" i="9"/>
  <c r="L3" i="9"/>
  <c r="I3" i="9"/>
  <c r="K3" i="9" s="1"/>
  <c r="Q2" i="9"/>
  <c r="O2" i="9"/>
  <c r="N2" i="9"/>
  <c r="L2" i="9"/>
  <c r="I2" i="9"/>
  <c r="S2" i="9" s="1"/>
  <c r="I2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S52" i="6" s="1"/>
  <c r="I53" i="6"/>
  <c r="S53" i="6" s="1"/>
  <c r="I54" i="6"/>
  <c r="I55" i="6"/>
  <c r="I56" i="6"/>
  <c r="I57" i="6"/>
  <c r="I58" i="6"/>
  <c r="I59" i="6"/>
  <c r="K59" i="6" s="1"/>
  <c r="I60" i="6"/>
  <c r="I61" i="6"/>
  <c r="I62" i="6"/>
  <c r="I63" i="6"/>
  <c r="I64" i="6"/>
  <c r="I65" i="6"/>
  <c r="S65" i="6" s="1"/>
  <c r="I66" i="6"/>
  <c r="I67" i="6"/>
  <c r="P67" i="6" s="1"/>
  <c r="R67" i="6" s="1"/>
  <c r="I68" i="6"/>
  <c r="S68" i="6" s="1"/>
  <c r="I69" i="6"/>
  <c r="S69" i="6" s="1"/>
  <c r="I70" i="6"/>
  <c r="I71" i="6"/>
  <c r="I72" i="6"/>
  <c r="I73" i="6"/>
  <c r="I74" i="6"/>
  <c r="I75" i="6"/>
  <c r="I76" i="6"/>
  <c r="S76" i="6" s="1"/>
  <c r="I77" i="6"/>
  <c r="I78" i="6"/>
  <c r="I79" i="6"/>
  <c r="I80" i="6"/>
  <c r="S80" i="6" s="1"/>
  <c r="I81" i="6"/>
  <c r="S81" i="6" s="1"/>
  <c r="I82" i="6"/>
  <c r="I83" i="6"/>
  <c r="I84" i="6"/>
  <c r="I85" i="6"/>
  <c r="S85" i="6" s="1"/>
  <c r="I86" i="6"/>
  <c r="I87" i="6"/>
  <c r="I88" i="6"/>
  <c r="I89" i="6"/>
  <c r="I90" i="6"/>
  <c r="I91" i="6"/>
  <c r="I92" i="6"/>
  <c r="I93" i="6"/>
  <c r="I94" i="6"/>
  <c r="I95" i="6"/>
  <c r="I96" i="6"/>
  <c r="I97" i="6"/>
  <c r="S97" i="6" s="1"/>
  <c r="I98" i="6"/>
  <c r="S98" i="6" s="1"/>
  <c r="I99" i="6"/>
  <c r="S99" i="6" s="1"/>
  <c r="I100" i="6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2" i="4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" i="3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2" i="1"/>
  <c r="Q2" i="1"/>
  <c r="N2" i="1"/>
  <c r="N2" i="6"/>
  <c r="Z100" i="6"/>
  <c r="Q100" i="6"/>
  <c r="O100" i="6"/>
  <c r="N100" i="6"/>
  <c r="L100" i="6"/>
  <c r="G100" i="6"/>
  <c r="Z99" i="6"/>
  <c r="Q99" i="6"/>
  <c r="O99" i="6"/>
  <c r="N99" i="6"/>
  <c r="L99" i="6"/>
  <c r="G99" i="6"/>
  <c r="Z98" i="6"/>
  <c r="Q98" i="6"/>
  <c r="O98" i="6"/>
  <c r="N98" i="6"/>
  <c r="L98" i="6"/>
  <c r="G98" i="6"/>
  <c r="Z97" i="6"/>
  <c r="Q97" i="6"/>
  <c r="O97" i="6"/>
  <c r="N97" i="6"/>
  <c r="L97" i="6"/>
  <c r="G97" i="6"/>
  <c r="Z96" i="6"/>
  <c r="Q96" i="6"/>
  <c r="O96" i="6"/>
  <c r="N96" i="6"/>
  <c r="L96" i="6"/>
  <c r="G96" i="6"/>
  <c r="Z95" i="6"/>
  <c r="Q95" i="6"/>
  <c r="O95" i="6"/>
  <c r="N95" i="6"/>
  <c r="L95" i="6"/>
  <c r="G95" i="6"/>
  <c r="Z94" i="6"/>
  <c r="Q94" i="6"/>
  <c r="O94" i="6"/>
  <c r="N94" i="6"/>
  <c r="L94" i="6"/>
  <c r="G94" i="6"/>
  <c r="Z93" i="6"/>
  <c r="Q93" i="6"/>
  <c r="O93" i="6"/>
  <c r="N93" i="6"/>
  <c r="L93" i="6"/>
  <c r="K93" i="6"/>
  <c r="G93" i="6"/>
  <c r="Z92" i="6"/>
  <c r="Q92" i="6"/>
  <c r="O92" i="6"/>
  <c r="N92" i="6"/>
  <c r="L92" i="6"/>
  <c r="G92" i="6"/>
  <c r="Z91" i="6"/>
  <c r="Q91" i="6"/>
  <c r="O91" i="6"/>
  <c r="N91" i="6"/>
  <c r="L91" i="6"/>
  <c r="G91" i="6"/>
  <c r="K91" i="6" s="1"/>
  <c r="Z90" i="6"/>
  <c r="Q90" i="6"/>
  <c r="O90" i="6"/>
  <c r="N90" i="6"/>
  <c r="L90" i="6"/>
  <c r="G90" i="6"/>
  <c r="Z89" i="6"/>
  <c r="Q89" i="6"/>
  <c r="O89" i="6"/>
  <c r="N89" i="6"/>
  <c r="L89" i="6"/>
  <c r="G89" i="6"/>
  <c r="Z88" i="6"/>
  <c r="Q88" i="6"/>
  <c r="O88" i="6"/>
  <c r="N88" i="6"/>
  <c r="L88" i="6"/>
  <c r="G88" i="6"/>
  <c r="Z87" i="6"/>
  <c r="Q87" i="6"/>
  <c r="O87" i="6"/>
  <c r="N87" i="6"/>
  <c r="L87" i="6"/>
  <c r="G87" i="6"/>
  <c r="Z86" i="6"/>
  <c r="Q86" i="6"/>
  <c r="O86" i="6"/>
  <c r="N86" i="6"/>
  <c r="L86" i="6"/>
  <c r="G86" i="6"/>
  <c r="Z85" i="6"/>
  <c r="Q85" i="6"/>
  <c r="O85" i="6"/>
  <c r="N85" i="6"/>
  <c r="L85" i="6"/>
  <c r="G85" i="6"/>
  <c r="Z84" i="6"/>
  <c r="Q84" i="6"/>
  <c r="O84" i="6"/>
  <c r="N84" i="6"/>
  <c r="L84" i="6"/>
  <c r="G84" i="6"/>
  <c r="Z83" i="6"/>
  <c r="Q83" i="6"/>
  <c r="O83" i="6"/>
  <c r="N83" i="6"/>
  <c r="L83" i="6"/>
  <c r="G83" i="6"/>
  <c r="Z82" i="6"/>
  <c r="Q82" i="6"/>
  <c r="O82" i="6"/>
  <c r="N82" i="6"/>
  <c r="L82" i="6"/>
  <c r="G82" i="6"/>
  <c r="Z81" i="6"/>
  <c r="Q81" i="6"/>
  <c r="O81" i="6"/>
  <c r="N81" i="6"/>
  <c r="L81" i="6"/>
  <c r="G81" i="6"/>
  <c r="Z80" i="6"/>
  <c r="Q80" i="6"/>
  <c r="O80" i="6"/>
  <c r="N80" i="6"/>
  <c r="L80" i="6"/>
  <c r="G80" i="6"/>
  <c r="Z79" i="6"/>
  <c r="Q79" i="6"/>
  <c r="O79" i="6"/>
  <c r="N79" i="6"/>
  <c r="L79" i="6"/>
  <c r="G79" i="6"/>
  <c r="Z78" i="6"/>
  <c r="Q78" i="6"/>
  <c r="O78" i="6"/>
  <c r="N78" i="6"/>
  <c r="L78" i="6"/>
  <c r="G78" i="6"/>
  <c r="Z77" i="6"/>
  <c r="Q77" i="6"/>
  <c r="O77" i="6"/>
  <c r="N77" i="6"/>
  <c r="L77" i="6"/>
  <c r="G77" i="6"/>
  <c r="Z76" i="6"/>
  <c r="Q76" i="6"/>
  <c r="P76" i="6"/>
  <c r="R76" i="6" s="1"/>
  <c r="O76" i="6"/>
  <c r="N76" i="6"/>
  <c r="L76" i="6"/>
  <c r="G76" i="6"/>
  <c r="Z75" i="6"/>
  <c r="Q75" i="6"/>
  <c r="O75" i="6"/>
  <c r="N75" i="6"/>
  <c r="L75" i="6"/>
  <c r="G75" i="6"/>
  <c r="P75" i="6" s="1"/>
  <c r="R75" i="6" s="1"/>
  <c r="Z74" i="6"/>
  <c r="Q74" i="6"/>
  <c r="O74" i="6"/>
  <c r="N74" i="6"/>
  <c r="L74" i="6"/>
  <c r="G74" i="6"/>
  <c r="Z73" i="6"/>
  <c r="Q73" i="6"/>
  <c r="O73" i="6"/>
  <c r="N73" i="6"/>
  <c r="L73" i="6"/>
  <c r="G73" i="6"/>
  <c r="Z72" i="6"/>
  <c r="Q72" i="6"/>
  <c r="O72" i="6"/>
  <c r="N72" i="6"/>
  <c r="L72" i="6"/>
  <c r="G72" i="6"/>
  <c r="Z71" i="6"/>
  <c r="Q71" i="6"/>
  <c r="O71" i="6"/>
  <c r="N71" i="6"/>
  <c r="L71" i="6"/>
  <c r="G71" i="6"/>
  <c r="Z70" i="6"/>
  <c r="Q70" i="6"/>
  <c r="O70" i="6"/>
  <c r="N70" i="6"/>
  <c r="L70" i="6"/>
  <c r="G70" i="6"/>
  <c r="Z69" i="6"/>
  <c r="Q69" i="6"/>
  <c r="O69" i="6"/>
  <c r="N69" i="6"/>
  <c r="L69" i="6"/>
  <c r="G69" i="6"/>
  <c r="Z68" i="6"/>
  <c r="Q68" i="6"/>
  <c r="O68" i="6"/>
  <c r="N68" i="6"/>
  <c r="L68" i="6"/>
  <c r="G68" i="6"/>
  <c r="Z67" i="6"/>
  <c r="Q67" i="6"/>
  <c r="O67" i="6"/>
  <c r="N67" i="6"/>
  <c r="L67" i="6"/>
  <c r="G67" i="6"/>
  <c r="Z66" i="6"/>
  <c r="Q66" i="6"/>
  <c r="O66" i="6"/>
  <c r="N66" i="6"/>
  <c r="L66" i="6"/>
  <c r="K66" i="6"/>
  <c r="G66" i="6"/>
  <c r="Z65" i="6"/>
  <c r="Q65" i="6"/>
  <c r="O65" i="6"/>
  <c r="N65" i="6"/>
  <c r="L65" i="6"/>
  <c r="G65" i="6"/>
  <c r="Z64" i="6"/>
  <c r="Q64" i="6"/>
  <c r="O64" i="6"/>
  <c r="N64" i="6"/>
  <c r="L64" i="6"/>
  <c r="G64" i="6"/>
  <c r="Z63" i="6"/>
  <c r="Q63" i="6"/>
  <c r="O63" i="6"/>
  <c r="N63" i="6"/>
  <c r="L63" i="6"/>
  <c r="G63" i="6"/>
  <c r="J63" i="6" s="1"/>
  <c r="Z62" i="6"/>
  <c r="Q62" i="6"/>
  <c r="O62" i="6"/>
  <c r="N62" i="6"/>
  <c r="L62" i="6"/>
  <c r="G62" i="6"/>
  <c r="Z61" i="6"/>
  <c r="Q61" i="6"/>
  <c r="O61" i="6"/>
  <c r="N61" i="6"/>
  <c r="L61" i="6"/>
  <c r="G61" i="6"/>
  <c r="Z60" i="6"/>
  <c r="Q60" i="6"/>
  <c r="O60" i="6"/>
  <c r="N60" i="6"/>
  <c r="L60" i="6"/>
  <c r="G60" i="6"/>
  <c r="Z59" i="6"/>
  <c r="Q59" i="6"/>
  <c r="O59" i="6"/>
  <c r="N59" i="6"/>
  <c r="J59" i="6" s="1"/>
  <c r="L59" i="6"/>
  <c r="G59" i="6"/>
  <c r="Z58" i="6"/>
  <c r="Q58" i="6"/>
  <c r="O58" i="6"/>
  <c r="N58" i="6"/>
  <c r="L58" i="6"/>
  <c r="G58" i="6"/>
  <c r="Z57" i="6"/>
  <c r="Q57" i="6"/>
  <c r="O57" i="6"/>
  <c r="N57" i="6"/>
  <c r="L57" i="6"/>
  <c r="G57" i="6"/>
  <c r="Z56" i="6"/>
  <c r="Q56" i="6"/>
  <c r="O56" i="6"/>
  <c r="N56" i="6"/>
  <c r="L56" i="6"/>
  <c r="K56" i="6"/>
  <c r="G56" i="6"/>
  <c r="Z55" i="6"/>
  <c r="Q55" i="6"/>
  <c r="O55" i="6"/>
  <c r="N55" i="6"/>
  <c r="L55" i="6"/>
  <c r="G55" i="6"/>
  <c r="Z54" i="6"/>
  <c r="Q54" i="6"/>
  <c r="O54" i="6"/>
  <c r="N54" i="6"/>
  <c r="L54" i="6"/>
  <c r="G54" i="6"/>
  <c r="Z53" i="6"/>
  <c r="Q53" i="6"/>
  <c r="O53" i="6"/>
  <c r="N53" i="6"/>
  <c r="L53" i="6"/>
  <c r="G53" i="6"/>
  <c r="Z52" i="6"/>
  <c r="Q52" i="6"/>
  <c r="O52" i="6"/>
  <c r="N52" i="6"/>
  <c r="L52" i="6"/>
  <c r="G52" i="6"/>
  <c r="Z51" i="6"/>
  <c r="Q51" i="6"/>
  <c r="O51" i="6"/>
  <c r="N51" i="6"/>
  <c r="L51" i="6"/>
  <c r="G51" i="6"/>
  <c r="Z50" i="6"/>
  <c r="Q50" i="6"/>
  <c r="O50" i="6"/>
  <c r="N50" i="6"/>
  <c r="L50" i="6"/>
  <c r="G50" i="6"/>
  <c r="Z49" i="6"/>
  <c r="Q49" i="6"/>
  <c r="O49" i="6"/>
  <c r="N49" i="6"/>
  <c r="L49" i="6"/>
  <c r="G49" i="6"/>
  <c r="Z48" i="6"/>
  <c r="Q48" i="6"/>
  <c r="O48" i="6"/>
  <c r="N48" i="6"/>
  <c r="L48" i="6"/>
  <c r="G48" i="6"/>
  <c r="Z47" i="6"/>
  <c r="Q47" i="6"/>
  <c r="O47" i="6"/>
  <c r="N47" i="6"/>
  <c r="L47" i="6"/>
  <c r="G47" i="6"/>
  <c r="Z46" i="6"/>
  <c r="Q46" i="6"/>
  <c r="O46" i="6"/>
  <c r="N46" i="6"/>
  <c r="L46" i="6"/>
  <c r="G46" i="6"/>
  <c r="AA14" i="4"/>
  <c r="AA15" i="4"/>
  <c r="AA16" i="4"/>
  <c r="AA17" i="4"/>
  <c r="AA18" i="4"/>
  <c r="AA19" i="4"/>
  <c r="AA20" i="4"/>
  <c r="AA21" i="4"/>
  <c r="AA22" i="4"/>
  <c r="AA23" i="4"/>
  <c r="AA24" i="4"/>
  <c r="AA25" i="4"/>
  <c r="AA26" i="4"/>
  <c r="AA27" i="4"/>
  <c r="AA28" i="4"/>
  <c r="AA29" i="4"/>
  <c r="AA30" i="4"/>
  <c r="AA31" i="4"/>
  <c r="AA32" i="4"/>
  <c r="AA33" i="4"/>
  <c r="AA34" i="4"/>
  <c r="AA2" i="4"/>
  <c r="AA3" i="4"/>
  <c r="AA4" i="4"/>
  <c r="AA5" i="4"/>
  <c r="AA6" i="4"/>
  <c r="AA7" i="4"/>
  <c r="AA8" i="4"/>
  <c r="AA9" i="4"/>
  <c r="AA10" i="4"/>
  <c r="AA11" i="4"/>
  <c r="AA12" i="4"/>
  <c r="AA13" i="4"/>
  <c r="AA3" i="3"/>
  <c r="AA2" i="3"/>
  <c r="S2" i="1" l="1"/>
  <c r="K2" i="1"/>
  <c r="S27" i="1"/>
  <c r="AF25" i="9"/>
  <c r="AG25" i="9" s="1"/>
  <c r="AF56" i="9"/>
  <c r="AG56" i="9" s="1"/>
  <c r="J23" i="9"/>
  <c r="AF5" i="9"/>
  <c r="AG5" i="9" s="1"/>
  <c r="AF21" i="9"/>
  <c r="AG21" i="9" s="1"/>
  <c r="K23" i="9"/>
  <c r="K8" i="9"/>
  <c r="J8" i="9"/>
  <c r="J45" i="9"/>
  <c r="K45" i="9"/>
  <c r="K52" i="9"/>
  <c r="P45" i="9"/>
  <c r="R45" i="9" s="1"/>
  <c r="R12" i="9"/>
  <c r="W12" i="9" s="1"/>
  <c r="Y12" i="9" s="1"/>
  <c r="AF12" i="9"/>
  <c r="AG12" i="9" s="1"/>
  <c r="R43" i="9"/>
  <c r="W43" i="9" s="1"/>
  <c r="Y43" i="9" s="1"/>
  <c r="AF43" i="9"/>
  <c r="AG43" i="9" s="1"/>
  <c r="R34" i="9"/>
  <c r="W34" i="9" s="1"/>
  <c r="Y34" i="9" s="1"/>
  <c r="AF34" i="9"/>
  <c r="AG34" i="9" s="1"/>
  <c r="R54" i="9"/>
  <c r="W54" i="9" s="1"/>
  <c r="Y54" i="9" s="1"/>
  <c r="AF54" i="9"/>
  <c r="AG54" i="9" s="1"/>
  <c r="P18" i="9"/>
  <c r="S18" i="9"/>
  <c r="P23" i="9"/>
  <c r="K10" i="9"/>
  <c r="J32" i="9"/>
  <c r="S32" i="9"/>
  <c r="P51" i="9"/>
  <c r="AF51" i="9" s="1"/>
  <c r="AG51" i="9" s="1"/>
  <c r="S51" i="9"/>
  <c r="J4" i="9"/>
  <c r="P16" i="9"/>
  <c r="S16" i="9"/>
  <c r="P27" i="9"/>
  <c r="S27" i="9"/>
  <c r="J35" i="9"/>
  <c r="S35" i="9"/>
  <c r="P38" i="9"/>
  <c r="AF38" i="9" s="1"/>
  <c r="AG38" i="9" s="1"/>
  <c r="S38" i="9"/>
  <c r="J41" i="9"/>
  <c r="S41" i="9"/>
  <c r="P49" i="9"/>
  <c r="S49" i="9"/>
  <c r="K5" i="9"/>
  <c r="S5" i="9"/>
  <c r="J10" i="9"/>
  <c r="K16" i="9"/>
  <c r="J19" i="9"/>
  <c r="S19" i="9"/>
  <c r="K38" i="9"/>
  <c r="K41" i="9"/>
  <c r="P55" i="9"/>
  <c r="S55" i="9"/>
  <c r="K19" i="9"/>
  <c r="J44" i="9"/>
  <c r="S44" i="9"/>
  <c r="J52" i="9"/>
  <c r="K12" i="9"/>
  <c r="S12" i="9"/>
  <c r="K34" i="9"/>
  <c r="S34" i="9"/>
  <c r="P29" i="9"/>
  <c r="S29" i="9"/>
  <c r="J48" i="9"/>
  <c r="S48" i="9"/>
  <c r="K54" i="9"/>
  <c r="S54" i="9"/>
  <c r="K7" i="9"/>
  <c r="S7" i="9"/>
  <c r="J29" i="9"/>
  <c r="K43" i="9"/>
  <c r="S43" i="9"/>
  <c r="K29" i="9"/>
  <c r="J54" i="9"/>
  <c r="K13" i="9"/>
  <c r="S13" i="9"/>
  <c r="P10" i="9"/>
  <c r="J30" i="9"/>
  <c r="S30" i="9"/>
  <c r="R32" i="9"/>
  <c r="W32" i="9" s="1"/>
  <c r="Y32" i="9" s="1"/>
  <c r="AF32" i="9"/>
  <c r="AG32" i="9" s="1"/>
  <c r="J3" i="9"/>
  <c r="S3" i="9"/>
  <c r="K30" i="9"/>
  <c r="P52" i="9"/>
  <c r="AF52" i="9" s="1"/>
  <c r="AG52" i="9" s="1"/>
  <c r="R3" i="9"/>
  <c r="W3" i="9" s="1"/>
  <c r="Y3" i="9" s="1"/>
  <c r="AF3" i="9"/>
  <c r="AG3" i="9" s="1"/>
  <c r="P31" i="9"/>
  <c r="AF31" i="9" s="1"/>
  <c r="AG31" i="9" s="1"/>
  <c r="S31" i="9"/>
  <c r="P40" i="9"/>
  <c r="S40" i="9"/>
  <c r="R14" i="9"/>
  <c r="W14" i="9" s="1"/>
  <c r="Y14" i="9" s="1"/>
  <c r="AF14" i="9"/>
  <c r="AG14" i="9" s="1"/>
  <c r="K21" i="9"/>
  <c r="S21" i="9"/>
  <c r="T21" i="9" s="1"/>
  <c r="U21" i="9" s="1"/>
  <c r="V21" i="9" s="1"/>
  <c r="K56" i="9"/>
  <c r="S56" i="9"/>
  <c r="R36" i="9"/>
  <c r="W36" i="9" s="1"/>
  <c r="Y36" i="9" s="1"/>
  <c r="AF36" i="9"/>
  <c r="AG36" i="9" s="1"/>
  <c r="J14" i="9"/>
  <c r="S14" i="9"/>
  <c r="K25" i="9"/>
  <c r="S25" i="9"/>
  <c r="J36" i="9"/>
  <c r="S36" i="9"/>
  <c r="P41" i="9"/>
  <c r="K47" i="9"/>
  <c r="S47" i="9"/>
  <c r="P50" i="9"/>
  <c r="S50" i="9"/>
  <c r="R5" i="9"/>
  <c r="W5" i="9" s="1"/>
  <c r="Y5" i="9" s="1"/>
  <c r="K17" i="9"/>
  <c r="S17" i="9"/>
  <c r="P19" i="9"/>
  <c r="J39" i="9"/>
  <c r="S39" i="9"/>
  <c r="P8" i="9"/>
  <c r="AF8" i="9" s="1"/>
  <c r="AG8" i="9" s="1"/>
  <c r="P20" i="9"/>
  <c r="S20" i="9"/>
  <c r="R30" i="9"/>
  <c r="W30" i="9" s="1"/>
  <c r="Y30" i="9" s="1"/>
  <c r="AF30" i="9"/>
  <c r="AG30" i="9" s="1"/>
  <c r="T2" i="16"/>
  <c r="E2" i="16" s="1"/>
  <c r="L2" i="16" s="1"/>
  <c r="W14" i="16"/>
  <c r="Y14" i="16" s="1"/>
  <c r="T14" i="16"/>
  <c r="E14" i="16" s="1"/>
  <c r="L14" i="16" s="1"/>
  <c r="T16" i="16"/>
  <c r="E16" i="16" s="1"/>
  <c r="L16" i="16" s="1"/>
  <c r="W21" i="16"/>
  <c r="Y21" i="16" s="1"/>
  <c r="T21" i="16"/>
  <c r="E21" i="16" s="1"/>
  <c r="L21" i="16" s="1"/>
  <c r="W7" i="16"/>
  <c r="Y7" i="16" s="1"/>
  <c r="T7" i="16"/>
  <c r="E7" i="16" s="1"/>
  <c r="L7" i="16" s="1"/>
  <c r="W10" i="16"/>
  <c r="Y10" i="16" s="1"/>
  <c r="T10" i="16"/>
  <c r="E10" i="16" s="1"/>
  <c r="L10" i="16" s="1"/>
  <c r="W18" i="16"/>
  <c r="Y18" i="16" s="1"/>
  <c r="T18" i="16"/>
  <c r="E18" i="16" s="1"/>
  <c r="L18" i="16" s="1"/>
  <c r="W6" i="16"/>
  <c r="Y6" i="16" s="1"/>
  <c r="T6" i="16"/>
  <c r="E6" i="16" s="1"/>
  <c r="L6" i="16" s="1"/>
  <c r="W8" i="16"/>
  <c r="Y8" i="16" s="1"/>
  <c r="T8" i="16"/>
  <c r="E8" i="16" s="1"/>
  <c r="L8" i="16" s="1"/>
  <c r="W15" i="16"/>
  <c r="Y15" i="16" s="1"/>
  <c r="T15" i="16"/>
  <c r="E15" i="16" s="1"/>
  <c r="L15" i="16" s="1"/>
  <c r="W17" i="16"/>
  <c r="Y17" i="16" s="1"/>
  <c r="T17" i="16"/>
  <c r="E17" i="16" s="1"/>
  <c r="L17" i="16" s="1"/>
  <c r="T3" i="16"/>
  <c r="E3" i="16" s="1"/>
  <c r="L3" i="16" s="1"/>
  <c r="T2" i="14"/>
  <c r="E2" i="14" s="1"/>
  <c r="L2" i="14" s="1"/>
  <c r="E33" i="14"/>
  <c r="L33" i="14" s="1"/>
  <c r="T17" i="14"/>
  <c r="T12" i="14"/>
  <c r="E12" i="14" s="1"/>
  <c r="L12" i="14" s="1"/>
  <c r="AF27" i="14"/>
  <c r="AG27" i="14" s="1"/>
  <c r="T32" i="14"/>
  <c r="E32" i="14" s="1"/>
  <c r="L32" i="14" s="1"/>
  <c r="T4" i="14"/>
  <c r="E4" i="14" s="1"/>
  <c r="L4" i="14" s="1"/>
  <c r="T22" i="14"/>
  <c r="E22" i="14" s="1"/>
  <c r="L22" i="14" s="1"/>
  <c r="T24" i="14"/>
  <c r="E21" i="14"/>
  <c r="L21" i="14" s="1"/>
  <c r="AF14" i="14"/>
  <c r="AG14" i="14" s="1"/>
  <c r="AF13" i="14"/>
  <c r="AG13" i="14" s="1"/>
  <c r="T15" i="14"/>
  <c r="E15" i="14" s="1"/>
  <c r="L15" i="14" s="1"/>
  <c r="T29" i="14"/>
  <c r="E29" i="14" s="1"/>
  <c r="L29" i="14" s="1"/>
  <c r="T34" i="14"/>
  <c r="E34" i="14" s="1"/>
  <c r="L34" i="14" s="1"/>
  <c r="AF34" i="14"/>
  <c r="AG34" i="14" s="1"/>
  <c r="T31" i="14"/>
  <c r="E31" i="14" s="1"/>
  <c r="L31" i="14" s="1"/>
  <c r="AF35" i="14"/>
  <c r="AG35" i="14" s="1"/>
  <c r="T18" i="14"/>
  <c r="E18" i="14" s="1"/>
  <c r="L18" i="14" s="1"/>
  <c r="T36" i="14"/>
  <c r="E36" i="14" s="1"/>
  <c r="L36" i="14" s="1"/>
  <c r="T16" i="14"/>
  <c r="E16" i="14" s="1"/>
  <c r="L16" i="14" s="1"/>
  <c r="T28" i="14"/>
  <c r="E28" i="14" s="1"/>
  <c r="L28" i="14" s="1"/>
  <c r="R8" i="14"/>
  <c r="W8" i="14" s="1"/>
  <c r="Y8" i="14" s="1"/>
  <c r="AF12" i="14"/>
  <c r="AG12" i="14" s="1"/>
  <c r="AF18" i="14"/>
  <c r="AG18" i="14" s="1"/>
  <c r="AF24" i="14"/>
  <c r="AG24" i="14" s="1"/>
  <c r="T35" i="14"/>
  <c r="E35" i="14" s="1"/>
  <c r="L35" i="14" s="1"/>
  <c r="T5" i="14"/>
  <c r="E5" i="14" s="1"/>
  <c r="L5" i="14" s="1"/>
  <c r="AF9" i="14"/>
  <c r="AG9" i="14" s="1"/>
  <c r="T30" i="14"/>
  <c r="E30" i="14" s="1"/>
  <c r="L30" i="14" s="1"/>
  <c r="AF19" i="14"/>
  <c r="AG19" i="14" s="1"/>
  <c r="AF7" i="14"/>
  <c r="AG7" i="14" s="1"/>
  <c r="AF3" i="14"/>
  <c r="AG3" i="14" s="1"/>
  <c r="AF6" i="14"/>
  <c r="AG6" i="14" s="1"/>
  <c r="AF37" i="14"/>
  <c r="AG37" i="14" s="1"/>
  <c r="AF25" i="14"/>
  <c r="AG25" i="14" s="1"/>
  <c r="E11" i="14"/>
  <c r="L11" i="14" s="1"/>
  <c r="T23" i="14"/>
  <c r="E23" i="14" s="1"/>
  <c r="L23" i="14" s="1"/>
  <c r="AF21" i="14"/>
  <c r="AG21" i="14" s="1"/>
  <c r="AF28" i="14"/>
  <c r="AG28" i="14" s="1"/>
  <c r="E17" i="14"/>
  <c r="L17" i="14" s="1"/>
  <c r="T27" i="14"/>
  <c r="E27" i="14" s="1"/>
  <c r="L27" i="14" s="1"/>
  <c r="T14" i="14"/>
  <c r="E14" i="14" s="1"/>
  <c r="L14" i="14" s="1"/>
  <c r="AF16" i="14"/>
  <c r="AG16" i="14" s="1"/>
  <c r="E24" i="14"/>
  <c r="L24" i="14" s="1"/>
  <c r="AF11" i="14"/>
  <c r="AG11" i="14" s="1"/>
  <c r="AF36" i="14"/>
  <c r="AG36" i="14" s="1"/>
  <c r="AF30" i="14"/>
  <c r="AG30" i="14" s="1"/>
  <c r="AF4" i="14"/>
  <c r="AG4" i="14" s="1"/>
  <c r="AF29" i="14"/>
  <c r="AG29" i="14" s="1"/>
  <c r="AF20" i="14"/>
  <c r="AG20" i="14" s="1"/>
  <c r="T25" i="14"/>
  <c r="E25" i="14" s="1"/>
  <c r="L25" i="14" s="1"/>
  <c r="T13" i="14"/>
  <c r="E13" i="14" s="1"/>
  <c r="L13" i="14" s="1"/>
  <c r="E26" i="14"/>
  <c r="L26" i="14" s="1"/>
  <c r="AF2" i="14"/>
  <c r="AG2" i="14" s="1"/>
  <c r="S50" i="6"/>
  <c r="S48" i="6"/>
  <c r="P59" i="6"/>
  <c r="R59" i="6" s="1"/>
  <c r="S94" i="6"/>
  <c r="S78" i="6"/>
  <c r="S66" i="6"/>
  <c r="S49" i="6"/>
  <c r="S96" i="6"/>
  <c r="S61" i="6"/>
  <c r="S92" i="6"/>
  <c r="S84" i="6"/>
  <c r="S51" i="6"/>
  <c r="S95" i="6"/>
  <c r="S79" i="6"/>
  <c r="S63" i="6"/>
  <c r="S47" i="6"/>
  <c r="S46" i="6"/>
  <c r="P93" i="6"/>
  <c r="R93" i="6" s="1"/>
  <c r="W93" i="6" s="1"/>
  <c r="Y93" i="6" s="1"/>
  <c r="S93" i="6"/>
  <c r="T93" i="6" s="1"/>
  <c r="U93" i="6" s="1"/>
  <c r="V93" i="6" s="1"/>
  <c r="S77" i="6"/>
  <c r="P100" i="6"/>
  <c r="R100" i="6" s="1"/>
  <c r="S100" i="6"/>
  <c r="AF59" i="6"/>
  <c r="AG59" i="6" s="1"/>
  <c r="S60" i="6"/>
  <c r="S44" i="6"/>
  <c r="S28" i="6"/>
  <c r="S12" i="6"/>
  <c r="K67" i="6"/>
  <c r="P78" i="6"/>
  <c r="R78" i="6" s="1"/>
  <c r="W78" i="6" s="1"/>
  <c r="Y78" i="6" s="1"/>
  <c r="S90" i="6"/>
  <c r="S74" i="6"/>
  <c r="T74" i="6" s="1"/>
  <c r="U74" i="6" s="1"/>
  <c r="V74" i="6" s="1"/>
  <c r="S58" i="6"/>
  <c r="P82" i="6"/>
  <c r="AF82" i="6" s="1"/>
  <c r="AG82" i="6" s="1"/>
  <c r="S82" i="6"/>
  <c r="S64" i="6"/>
  <c r="S62" i="6"/>
  <c r="S91" i="6"/>
  <c r="AF67" i="6"/>
  <c r="AG67" i="6" s="1"/>
  <c r="AF75" i="6"/>
  <c r="AG75" i="6" s="1"/>
  <c r="S89" i="6"/>
  <c r="S73" i="6"/>
  <c r="S57" i="6"/>
  <c r="S9" i="6"/>
  <c r="P83" i="6"/>
  <c r="R83" i="6" s="1"/>
  <c r="S83" i="6"/>
  <c r="AF76" i="6"/>
  <c r="AG76" i="6" s="1"/>
  <c r="J94" i="6"/>
  <c r="S88" i="6"/>
  <c r="S72" i="6"/>
  <c r="S56" i="6"/>
  <c r="AF97" i="6"/>
  <c r="AG97" i="6" s="1"/>
  <c r="AF66" i="6"/>
  <c r="AG66" i="6" s="1"/>
  <c r="AF51" i="6"/>
  <c r="AG51" i="6" s="1"/>
  <c r="AF79" i="6"/>
  <c r="AG79" i="6" s="1"/>
  <c r="AF72" i="6"/>
  <c r="AG72" i="6" s="1"/>
  <c r="AF93" i="6"/>
  <c r="AG93" i="6" s="1"/>
  <c r="S75" i="6"/>
  <c r="P66" i="6"/>
  <c r="R66" i="6" s="1"/>
  <c r="W66" i="6" s="1"/>
  <c r="Y66" i="6" s="1"/>
  <c r="S87" i="6"/>
  <c r="S71" i="6"/>
  <c r="S55" i="6"/>
  <c r="S67" i="6"/>
  <c r="T67" i="6" s="1"/>
  <c r="U67" i="6" s="1"/>
  <c r="V67" i="6" s="1"/>
  <c r="S59" i="6"/>
  <c r="T59" i="6" s="1"/>
  <c r="U59" i="6" s="1"/>
  <c r="V59" i="6" s="1"/>
  <c r="AF63" i="6"/>
  <c r="AG63" i="6" s="1"/>
  <c r="J66" i="6"/>
  <c r="AF99" i="6"/>
  <c r="AG99" i="6" s="1"/>
  <c r="P86" i="6"/>
  <c r="R86" i="6" s="1"/>
  <c r="W86" i="6" s="1"/>
  <c r="Y86" i="6" s="1"/>
  <c r="S86" i="6"/>
  <c r="T86" i="6" s="1"/>
  <c r="U86" i="6" s="1"/>
  <c r="V86" i="6" s="1"/>
  <c r="S70" i="6"/>
  <c r="T70" i="6" s="1"/>
  <c r="U70" i="6" s="1"/>
  <c r="V70" i="6" s="1"/>
  <c r="S54" i="6"/>
  <c r="T28" i="4"/>
  <c r="T8" i="4"/>
  <c r="P2" i="1"/>
  <c r="R2" i="1" s="1"/>
  <c r="T2" i="1" s="1"/>
  <c r="U2" i="1" s="1"/>
  <c r="T37" i="14"/>
  <c r="E37" i="14" s="1"/>
  <c r="L37" i="14" s="1"/>
  <c r="T20" i="14"/>
  <c r="E20" i="14" s="1"/>
  <c r="L20" i="14" s="1"/>
  <c r="T19" i="14"/>
  <c r="E19" i="14" s="1"/>
  <c r="L19" i="14" s="1"/>
  <c r="T3" i="14"/>
  <c r="E3" i="14" s="1"/>
  <c r="L3" i="14" s="1"/>
  <c r="T6" i="14"/>
  <c r="E6" i="14" s="1"/>
  <c r="L6" i="14" s="1"/>
  <c r="T7" i="14"/>
  <c r="E7" i="14" s="1"/>
  <c r="L7" i="14" s="1"/>
  <c r="T9" i="14"/>
  <c r="E9" i="14" s="1"/>
  <c r="L9" i="14" s="1"/>
  <c r="R47" i="9"/>
  <c r="W47" i="9" s="1"/>
  <c r="Y47" i="9" s="1"/>
  <c r="R56" i="9"/>
  <c r="W56" i="9" s="1"/>
  <c r="Y56" i="9" s="1"/>
  <c r="R25" i="9"/>
  <c r="W25" i="9" s="1"/>
  <c r="Y25" i="9" s="1"/>
  <c r="R31" i="9"/>
  <c r="W31" i="9" s="1"/>
  <c r="Y31" i="9" s="1"/>
  <c r="J46" i="9"/>
  <c r="K55" i="9"/>
  <c r="K53" i="9"/>
  <c r="P46" i="9"/>
  <c r="K50" i="9"/>
  <c r="K48" i="9"/>
  <c r="J55" i="9"/>
  <c r="K51" i="9"/>
  <c r="J49" i="9"/>
  <c r="K49" i="9"/>
  <c r="P53" i="9"/>
  <c r="J56" i="9"/>
  <c r="J47" i="9"/>
  <c r="J53" i="9"/>
  <c r="P48" i="9"/>
  <c r="J51" i="9"/>
  <c r="J50" i="9"/>
  <c r="K46" i="9"/>
  <c r="K44" i="9"/>
  <c r="K35" i="9"/>
  <c r="J42" i="9"/>
  <c r="K39" i="9"/>
  <c r="J37" i="9"/>
  <c r="K37" i="9"/>
  <c r="P39" i="9"/>
  <c r="K42" i="9"/>
  <c r="P37" i="9"/>
  <c r="J40" i="9"/>
  <c r="K40" i="9"/>
  <c r="P44" i="9"/>
  <c r="P35" i="9"/>
  <c r="J38" i="9"/>
  <c r="P42" i="9"/>
  <c r="K36" i="9"/>
  <c r="J43" i="9"/>
  <c r="P28" i="9"/>
  <c r="K26" i="9"/>
  <c r="J33" i="9"/>
  <c r="J24" i="9"/>
  <c r="K33" i="9"/>
  <c r="K24" i="9"/>
  <c r="J31" i="9"/>
  <c r="K31" i="9"/>
  <c r="P33" i="9"/>
  <c r="P24" i="9"/>
  <c r="J25" i="9"/>
  <c r="J28" i="9"/>
  <c r="K28" i="9"/>
  <c r="J34" i="9"/>
  <c r="K32" i="9"/>
  <c r="J26" i="9"/>
  <c r="P26" i="9"/>
  <c r="J27" i="9"/>
  <c r="K27" i="9"/>
  <c r="R21" i="9"/>
  <c r="W21" i="9" s="1"/>
  <c r="Y21" i="9" s="1"/>
  <c r="J17" i="9"/>
  <c r="K15" i="9"/>
  <c r="J22" i="9"/>
  <c r="P17" i="9"/>
  <c r="K20" i="9"/>
  <c r="P15" i="9"/>
  <c r="J18" i="9"/>
  <c r="K18" i="9"/>
  <c r="P22" i="9"/>
  <c r="P13" i="9"/>
  <c r="J16" i="9"/>
  <c r="K22" i="9"/>
  <c r="J20" i="9"/>
  <c r="K14" i="9"/>
  <c r="J21" i="9"/>
  <c r="J15" i="9"/>
  <c r="J13" i="9"/>
  <c r="R7" i="9"/>
  <c r="W7" i="9" s="1"/>
  <c r="Y7" i="9" s="1"/>
  <c r="J11" i="9"/>
  <c r="J2" i="9"/>
  <c r="K11" i="9"/>
  <c r="J9" i="9"/>
  <c r="J6" i="9"/>
  <c r="K6" i="9"/>
  <c r="K4" i="9"/>
  <c r="P2" i="9"/>
  <c r="K2" i="9"/>
  <c r="P6" i="9"/>
  <c r="K9" i="9"/>
  <c r="P4" i="9"/>
  <c r="J7" i="9"/>
  <c r="P11" i="9"/>
  <c r="J5" i="9"/>
  <c r="P9" i="9"/>
  <c r="J12" i="9"/>
  <c r="K83" i="6"/>
  <c r="P56" i="6"/>
  <c r="R56" i="6" s="1"/>
  <c r="W56" i="6" s="1"/>
  <c r="Y56" i="6" s="1"/>
  <c r="J83" i="6"/>
  <c r="T83" i="6"/>
  <c r="U83" i="6" s="1"/>
  <c r="V83" i="6" s="1"/>
  <c r="J69" i="6"/>
  <c r="R82" i="6"/>
  <c r="T82" i="6" s="1"/>
  <c r="U82" i="6" s="1"/>
  <c r="V82" i="6" s="1"/>
  <c r="P96" i="6"/>
  <c r="R96" i="6" s="1"/>
  <c r="W96" i="6" s="1"/>
  <c r="Y96" i="6" s="1"/>
  <c r="K96" i="6"/>
  <c r="J96" i="6"/>
  <c r="P92" i="6"/>
  <c r="R92" i="6" s="1"/>
  <c r="W92" i="6" s="1"/>
  <c r="Y92" i="6" s="1"/>
  <c r="K92" i="6"/>
  <c r="J92" i="6"/>
  <c r="P98" i="6"/>
  <c r="R98" i="6" s="1"/>
  <c r="W98" i="6" s="1"/>
  <c r="Y98" i="6" s="1"/>
  <c r="P97" i="6"/>
  <c r="R97" i="6" s="1"/>
  <c r="W97" i="6" s="1"/>
  <c r="Y97" i="6" s="1"/>
  <c r="K97" i="6"/>
  <c r="J97" i="6"/>
  <c r="K98" i="6"/>
  <c r="P90" i="6"/>
  <c r="R90" i="6" s="1"/>
  <c r="W90" i="6" s="1"/>
  <c r="Y90" i="6" s="1"/>
  <c r="J90" i="6"/>
  <c r="K90" i="6"/>
  <c r="J91" i="6"/>
  <c r="P91" i="6"/>
  <c r="R91" i="6" s="1"/>
  <c r="W91" i="6" s="1"/>
  <c r="Y91" i="6" s="1"/>
  <c r="K95" i="6"/>
  <c r="J95" i="6"/>
  <c r="P99" i="6"/>
  <c r="R99" i="6" s="1"/>
  <c r="W99" i="6" s="1"/>
  <c r="Y99" i="6" s="1"/>
  <c r="K99" i="6"/>
  <c r="J99" i="6"/>
  <c r="P94" i="6"/>
  <c r="R94" i="6" s="1"/>
  <c r="W94" i="6" s="1"/>
  <c r="Y94" i="6" s="1"/>
  <c r="K94" i="6"/>
  <c r="P95" i="6"/>
  <c r="R95" i="6" s="1"/>
  <c r="W95" i="6" s="1"/>
  <c r="Y95" i="6" s="1"/>
  <c r="K100" i="6"/>
  <c r="J100" i="6"/>
  <c r="W100" i="6"/>
  <c r="Y100" i="6" s="1"/>
  <c r="J98" i="6"/>
  <c r="T97" i="6"/>
  <c r="U97" i="6" s="1"/>
  <c r="V97" i="6" s="1"/>
  <c r="J93" i="6"/>
  <c r="W82" i="6"/>
  <c r="Y82" i="6" s="1"/>
  <c r="W75" i="6"/>
  <c r="Y75" i="6" s="1"/>
  <c r="W59" i="6"/>
  <c r="Y59" i="6" s="1"/>
  <c r="P70" i="6"/>
  <c r="R70" i="6" s="1"/>
  <c r="W70" i="6" s="1"/>
  <c r="Y70" i="6" s="1"/>
  <c r="K70" i="6"/>
  <c r="J70" i="6"/>
  <c r="P57" i="6"/>
  <c r="R57" i="6" s="1"/>
  <c r="W57" i="6" s="1"/>
  <c r="Y57" i="6" s="1"/>
  <c r="K57" i="6"/>
  <c r="J57" i="6"/>
  <c r="P74" i="6"/>
  <c r="R74" i="6" s="1"/>
  <c r="W74" i="6" s="1"/>
  <c r="Y74" i="6" s="1"/>
  <c r="J74" i="6"/>
  <c r="K74" i="6"/>
  <c r="T76" i="6"/>
  <c r="U76" i="6" s="1"/>
  <c r="V76" i="6" s="1"/>
  <c r="W76" i="6"/>
  <c r="Y76" i="6" s="1"/>
  <c r="K61" i="6"/>
  <c r="P61" i="6"/>
  <c r="R61" i="6" s="1"/>
  <c r="W61" i="6" s="1"/>
  <c r="Y61" i="6" s="1"/>
  <c r="J61" i="6"/>
  <c r="J72" i="6"/>
  <c r="P72" i="6"/>
  <c r="R72" i="6" s="1"/>
  <c r="W72" i="6" s="1"/>
  <c r="Y72" i="6" s="1"/>
  <c r="K72" i="6"/>
  <c r="K63" i="6"/>
  <c r="P63" i="6"/>
  <c r="R63" i="6" s="1"/>
  <c r="W63" i="6" s="1"/>
  <c r="Y63" i="6" s="1"/>
  <c r="P81" i="6"/>
  <c r="R81" i="6" s="1"/>
  <c r="W81" i="6" s="1"/>
  <c r="Y81" i="6" s="1"/>
  <c r="K81" i="6"/>
  <c r="J81" i="6"/>
  <c r="P89" i="6"/>
  <c r="R89" i="6" s="1"/>
  <c r="W89" i="6" s="1"/>
  <c r="Y89" i="6" s="1"/>
  <c r="K89" i="6"/>
  <c r="J89" i="6"/>
  <c r="K71" i="6"/>
  <c r="J71" i="6"/>
  <c r="P71" i="6"/>
  <c r="R71" i="6" s="1"/>
  <c r="W71" i="6" s="1"/>
  <c r="Y71" i="6" s="1"/>
  <c r="T66" i="6"/>
  <c r="U66" i="6" s="1"/>
  <c r="V66" i="6" s="1"/>
  <c r="K88" i="6"/>
  <c r="J88" i="6"/>
  <c r="P88" i="6"/>
  <c r="R88" i="6" s="1"/>
  <c r="W88" i="6" s="1"/>
  <c r="Y88" i="6" s="1"/>
  <c r="K64" i="6"/>
  <c r="P64" i="6"/>
  <c r="R64" i="6" s="1"/>
  <c r="W64" i="6" s="1"/>
  <c r="Y64" i="6" s="1"/>
  <c r="J64" i="6"/>
  <c r="K58" i="6"/>
  <c r="J58" i="6"/>
  <c r="P58" i="6"/>
  <c r="R58" i="6" s="1"/>
  <c r="W58" i="6" s="1"/>
  <c r="Y58" i="6" s="1"/>
  <c r="P79" i="6"/>
  <c r="R79" i="6" s="1"/>
  <c r="W79" i="6" s="1"/>
  <c r="Y79" i="6" s="1"/>
  <c r="K79" i="6"/>
  <c r="J79" i="6"/>
  <c r="K87" i="6"/>
  <c r="J87" i="6"/>
  <c r="P87" i="6"/>
  <c r="R87" i="6" s="1"/>
  <c r="W87" i="6" s="1"/>
  <c r="Y87" i="6" s="1"/>
  <c r="T87" i="6"/>
  <c r="U87" i="6" s="1"/>
  <c r="V87" i="6" s="1"/>
  <c r="P65" i="6"/>
  <c r="R65" i="6" s="1"/>
  <c r="W65" i="6" s="1"/>
  <c r="Y65" i="6" s="1"/>
  <c r="K65" i="6"/>
  <c r="J65" i="6"/>
  <c r="K73" i="6"/>
  <c r="P73" i="6"/>
  <c r="R73" i="6" s="1"/>
  <c r="W73" i="6" s="1"/>
  <c r="Y73" i="6" s="1"/>
  <c r="J73" i="6"/>
  <c r="K80" i="6"/>
  <c r="J80" i="6"/>
  <c r="P80" i="6"/>
  <c r="R80" i="6" s="1"/>
  <c r="W80" i="6" s="1"/>
  <c r="Y80" i="6" s="1"/>
  <c r="J60" i="6"/>
  <c r="P69" i="6"/>
  <c r="R69" i="6" s="1"/>
  <c r="W69" i="6" s="1"/>
  <c r="Y69" i="6" s="1"/>
  <c r="J75" i="6"/>
  <c r="K77" i="6"/>
  <c r="P84" i="6"/>
  <c r="R84" i="6" s="1"/>
  <c r="W84" i="6" s="1"/>
  <c r="Y84" i="6" s="1"/>
  <c r="J84" i="6"/>
  <c r="K78" i="6"/>
  <c r="J78" i="6"/>
  <c r="K69" i="6"/>
  <c r="P60" i="6"/>
  <c r="R60" i="6" s="1"/>
  <c r="W60" i="6" s="1"/>
  <c r="Y60" i="6" s="1"/>
  <c r="J86" i="6"/>
  <c r="J67" i="6"/>
  <c r="K76" i="6"/>
  <c r="J82" i="6"/>
  <c r="P68" i="6"/>
  <c r="R68" i="6" s="1"/>
  <c r="W68" i="6" s="1"/>
  <c r="Y68" i="6" s="1"/>
  <c r="J68" i="6"/>
  <c r="J77" i="6"/>
  <c r="K60" i="6"/>
  <c r="J85" i="6"/>
  <c r="K85" i="6"/>
  <c r="K75" i="6"/>
  <c r="P85" i="6"/>
  <c r="R85" i="6" s="1"/>
  <c r="W85" i="6" s="1"/>
  <c r="Y85" i="6" s="1"/>
  <c r="K82" i="6"/>
  <c r="K68" i="6"/>
  <c r="W67" i="6"/>
  <c r="Y67" i="6" s="1"/>
  <c r="K84" i="6"/>
  <c r="P77" i="6"/>
  <c r="R77" i="6" s="1"/>
  <c r="W77" i="6" s="1"/>
  <c r="Y77" i="6" s="1"/>
  <c r="W83" i="6"/>
  <c r="Y83" i="6" s="1"/>
  <c r="K86" i="6"/>
  <c r="K62" i="6"/>
  <c r="J62" i="6"/>
  <c r="J76" i="6"/>
  <c r="P62" i="6"/>
  <c r="R62" i="6" s="1"/>
  <c r="W62" i="6" s="1"/>
  <c r="Y62" i="6" s="1"/>
  <c r="T75" i="6"/>
  <c r="U75" i="6" s="1"/>
  <c r="V75" i="6" s="1"/>
  <c r="K47" i="6"/>
  <c r="J47" i="6"/>
  <c r="P47" i="6"/>
  <c r="R47" i="6" s="1"/>
  <c r="W47" i="6" s="1"/>
  <c r="Y47" i="6" s="1"/>
  <c r="J48" i="6"/>
  <c r="P48" i="6"/>
  <c r="R48" i="6" s="1"/>
  <c r="W48" i="6" s="1"/>
  <c r="Y48" i="6" s="1"/>
  <c r="K48" i="6"/>
  <c r="K54" i="6"/>
  <c r="J54" i="6"/>
  <c r="P54" i="6"/>
  <c r="R54" i="6" s="1"/>
  <c r="W54" i="6" s="1"/>
  <c r="Y54" i="6" s="1"/>
  <c r="T46" i="6"/>
  <c r="U46" i="6" s="1"/>
  <c r="V46" i="6" s="1"/>
  <c r="P46" i="6"/>
  <c r="R46" i="6" s="1"/>
  <c r="W46" i="6" s="1"/>
  <c r="Y46" i="6" s="1"/>
  <c r="J46" i="6"/>
  <c r="K46" i="6"/>
  <c r="P55" i="6"/>
  <c r="R55" i="6" s="1"/>
  <c r="W55" i="6" s="1"/>
  <c r="Y55" i="6" s="1"/>
  <c r="K55" i="6"/>
  <c r="J55" i="6"/>
  <c r="J52" i="6"/>
  <c r="K52" i="6"/>
  <c r="P52" i="6"/>
  <c r="R52" i="6" s="1"/>
  <c r="W52" i="6" s="1"/>
  <c r="Y52" i="6" s="1"/>
  <c r="P49" i="6"/>
  <c r="R49" i="6" s="1"/>
  <c r="W49" i="6" s="1"/>
  <c r="Y49" i="6" s="1"/>
  <c r="K49" i="6"/>
  <c r="J49" i="6"/>
  <c r="P51" i="6"/>
  <c r="R51" i="6" s="1"/>
  <c r="W51" i="6" s="1"/>
  <c r="Y51" i="6" s="1"/>
  <c r="K51" i="6"/>
  <c r="J51" i="6"/>
  <c r="P53" i="6"/>
  <c r="R53" i="6" s="1"/>
  <c r="W53" i="6" s="1"/>
  <c r="Y53" i="6" s="1"/>
  <c r="K53" i="6"/>
  <c r="J53" i="6"/>
  <c r="J50" i="6"/>
  <c r="K50" i="6"/>
  <c r="P50" i="6"/>
  <c r="R50" i="6" s="1"/>
  <c r="W50" i="6" s="1"/>
  <c r="Y50" i="6" s="1"/>
  <c r="J56" i="6"/>
  <c r="Z2" i="6"/>
  <c r="Z3" i="6"/>
  <c r="Z4" i="6"/>
  <c r="Z5" i="6"/>
  <c r="Z6" i="6"/>
  <c r="Z7" i="6"/>
  <c r="Z8" i="6"/>
  <c r="Z9" i="6"/>
  <c r="Z10" i="6"/>
  <c r="Z11" i="6"/>
  <c r="Z12" i="6"/>
  <c r="Z13" i="6"/>
  <c r="Z14" i="6"/>
  <c r="Z15" i="6"/>
  <c r="Z16" i="6"/>
  <c r="Z17" i="6"/>
  <c r="Z18" i="6"/>
  <c r="Z19" i="6"/>
  <c r="Z20" i="6"/>
  <c r="Z21" i="6"/>
  <c r="Z22" i="6"/>
  <c r="Z23" i="6"/>
  <c r="Z24" i="6"/>
  <c r="Z25" i="6"/>
  <c r="Z26" i="6"/>
  <c r="Z27" i="6"/>
  <c r="Z28" i="6"/>
  <c r="Z29" i="6"/>
  <c r="Z30" i="6"/>
  <c r="Z31" i="6"/>
  <c r="Z32" i="6"/>
  <c r="Z33" i="6"/>
  <c r="Z34" i="6"/>
  <c r="Z35" i="6"/>
  <c r="Z36" i="6"/>
  <c r="Z37" i="6"/>
  <c r="Z38" i="6"/>
  <c r="Z39" i="6"/>
  <c r="Z40" i="6"/>
  <c r="Z41" i="6"/>
  <c r="Z42" i="6"/>
  <c r="Z43" i="6"/>
  <c r="Z44" i="6"/>
  <c r="Z45" i="6"/>
  <c r="Q45" i="6"/>
  <c r="O45" i="6"/>
  <c r="N45" i="6"/>
  <c r="L45" i="6"/>
  <c r="G45" i="6"/>
  <c r="S45" i="6" s="1"/>
  <c r="Q44" i="6"/>
  <c r="O44" i="6"/>
  <c r="N44" i="6"/>
  <c r="L44" i="6"/>
  <c r="G44" i="6"/>
  <c r="Q43" i="6"/>
  <c r="O43" i="6"/>
  <c r="N43" i="6"/>
  <c r="L43" i="6"/>
  <c r="G43" i="6"/>
  <c r="S43" i="6" s="1"/>
  <c r="Q42" i="6"/>
  <c r="O42" i="6"/>
  <c r="N42" i="6"/>
  <c r="L42" i="6"/>
  <c r="G42" i="6"/>
  <c r="S42" i="6" s="1"/>
  <c r="Q41" i="6"/>
  <c r="O41" i="6"/>
  <c r="N41" i="6"/>
  <c r="L41" i="6"/>
  <c r="G41" i="6"/>
  <c r="S41" i="6" s="1"/>
  <c r="Q40" i="6"/>
  <c r="O40" i="6"/>
  <c r="N40" i="6"/>
  <c r="L40" i="6"/>
  <c r="G40" i="6"/>
  <c r="S40" i="6" s="1"/>
  <c r="Q39" i="6"/>
  <c r="O39" i="6"/>
  <c r="N39" i="6"/>
  <c r="L39" i="6"/>
  <c r="G39" i="6"/>
  <c r="J39" i="6" s="1"/>
  <c r="Q38" i="6"/>
  <c r="O38" i="6"/>
  <c r="N38" i="6"/>
  <c r="L38" i="6"/>
  <c r="G38" i="6"/>
  <c r="S38" i="6" s="1"/>
  <c r="Q37" i="6"/>
  <c r="O37" i="6"/>
  <c r="N37" i="6"/>
  <c r="L37" i="6"/>
  <c r="G37" i="6"/>
  <c r="S37" i="6" s="1"/>
  <c r="Q36" i="6"/>
  <c r="O36" i="6"/>
  <c r="N36" i="6"/>
  <c r="L36" i="6"/>
  <c r="G36" i="6"/>
  <c r="S36" i="6" s="1"/>
  <c r="Q35" i="6"/>
  <c r="O35" i="6"/>
  <c r="N35" i="6"/>
  <c r="L35" i="6"/>
  <c r="G35" i="6"/>
  <c r="S35" i="6" s="1"/>
  <c r="Q34" i="6"/>
  <c r="O34" i="6"/>
  <c r="N34" i="6"/>
  <c r="L34" i="6"/>
  <c r="G34" i="6"/>
  <c r="S34" i="6" s="1"/>
  <c r="Q33" i="6"/>
  <c r="O33" i="6"/>
  <c r="N33" i="6"/>
  <c r="L33" i="6"/>
  <c r="G33" i="6"/>
  <c r="S33" i="6" s="1"/>
  <c r="Q32" i="6"/>
  <c r="O32" i="6"/>
  <c r="N32" i="6"/>
  <c r="L32" i="6"/>
  <c r="G32" i="6"/>
  <c r="S32" i="6" s="1"/>
  <c r="Q31" i="6"/>
  <c r="O31" i="6"/>
  <c r="N31" i="6"/>
  <c r="L31" i="6"/>
  <c r="G31" i="6"/>
  <c r="S31" i="6" s="1"/>
  <c r="Q30" i="6"/>
  <c r="O30" i="6"/>
  <c r="N30" i="6"/>
  <c r="L30" i="6"/>
  <c r="G30" i="6"/>
  <c r="S30" i="6" s="1"/>
  <c r="Q29" i="6"/>
  <c r="O29" i="6"/>
  <c r="N29" i="6"/>
  <c r="L29" i="6"/>
  <c r="G29" i="6"/>
  <c r="S29" i="6" s="1"/>
  <c r="Q28" i="6"/>
  <c r="O28" i="6"/>
  <c r="N28" i="6"/>
  <c r="L28" i="6"/>
  <c r="K28" i="6"/>
  <c r="G28" i="6"/>
  <c r="Q27" i="6"/>
  <c r="O27" i="6"/>
  <c r="N27" i="6"/>
  <c r="L27" i="6"/>
  <c r="G27" i="6"/>
  <c r="S27" i="6" s="1"/>
  <c r="Q26" i="6"/>
  <c r="O26" i="6"/>
  <c r="N26" i="6"/>
  <c r="L26" i="6"/>
  <c r="G26" i="6"/>
  <c r="S26" i="6" s="1"/>
  <c r="Q25" i="6"/>
  <c r="O25" i="6"/>
  <c r="N25" i="6"/>
  <c r="L25" i="6"/>
  <c r="G25" i="6"/>
  <c r="S25" i="6" s="1"/>
  <c r="Q24" i="6"/>
  <c r="O24" i="6"/>
  <c r="N24" i="6"/>
  <c r="L24" i="6"/>
  <c r="G24" i="6"/>
  <c r="S24" i="6" s="1"/>
  <c r="Q23" i="6"/>
  <c r="O23" i="6"/>
  <c r="N23" i="6"/>
  <c r="L23" i="6"/>
  <c r="G23" i="6"/>
  <c r="S23" i="6" s="1"/>
  <c r="Q22" i="6"/>
  <c r="O22" i="6"/>
  <c r="N22" i="6"/>
  <c r="L22" i="6"/>
  <c r="G22" i="6"/>
  <c r="S22" i="6" s="1"/>
  <c r="Q21" i="6"/>
  <c r="O21" i="6"/>
  <c r="N21" i="6"/>
  <c r="L21" i="6"/>
  <c r="P21" i="6"/>
  <c r="G21" i="6"/>
  <c r="S21" i="6" s="1"/>
  <c r="Q20" i="6"/>
  <c r="O20" i="6"/>
  <c r="N20" i="6"/>
  <c r="L20" i="6"/>
  <c r="G20" i="6"/>
  <c r="S20" i="6" s="1"/>
  <c r="Q19" i="6"/>
  <c r="O19" i="6"/>
  <c r="N19" i="6"/>
  <c r="L19" i="6"/>
  <c r="G19" i="6"/>
  <c r="S19" i="6" s="1"/>
  <c r="Q18" i="6"/>
  <c r="O18" i="6"/>
  <c r="N18" i="6"/>
  <c r="L18" i="6"/>
  <c r="G18" i="6"/>
  <c r="P18" i="6" s="1"/>
  <c r="Q17" i="6"/>
  <c r="O17" i="6"/>
  <c r="N17" i="6"/>
  <c r="L17" i="6"/>
  <c r="G17" i="6"/>
  <c r="S17" i="6" s="1"/>
  <c r="Q16" i="6"/>
  <c r="O16" i="6"/>
  <c r="N16" i="6"/>
  <c r="L16" i="6"/>
  <c r="G16" i="6"/>
  <c r="S16" i="6" s="1"/>
  <c r="Q15" i="6"/>
  <c r="O15" i="6"/>
  <c r="N15" i="6"/>
  <c r="L15" i="6"/>
  <c r="G15" i="6"/>
  <c r="S15" i="6" s="1"/>
  <c r="Q14" i="6"/>
  <c r="O14" i="6"/>
  <c r="N14" i="6"/>
  <c r="L14" i="6"/>
  <c r="G14" i="6"/>
  <c r="S14" i="6" s="1"/>
  <c r="Q13" i="6"/>
  <c r="O13" i="6"/>
  <c r="N13" i="6"/>
  <c r="L13" i="6"/>
  <c r="G13" i="6"/>
  <c r="S13" i="6" s="1"/>
  <c r="Q12" i="6"/>
  <c r="O12" i="6"/>
  <c r="N12" i="6"/>
  <c r="L12" i="6"/>
  <c r="G12" i="6"/>
  <c r="Q11" i="6"/>
  <c r="O11" i="6"/>
  <c r="N11" i="6"/>
  <c r="L11" i="6"/>
  <c r="G11" i="6"/>
  <c r="S11" i="6" s="1"/>
  <c r="Q10" i="6"/>
  <c r="O10" i="6"/>
  <c r="N10" i="6"/>
  <c r="L10" i="6"/>
  <c r="G10" i="6"/>
  <c r="S10" i="6" s="1"/>
  <c r="Q9" i="6"/>
  <c r="O9" i="6"/>
  <c r="N9" i="6"/>
  <c r="L9" i="6"/>
  <c r="G9" i="6"/>
  <c r="Q8" i="6"/>
  <c r="O8" i="6"/>
  <c r="N8" i="6"/>
  <c r="L8" i="6"/>
  <c r="G8" i="6"/>
  <c r="S8" i="6" s="1"/>
  <c r="Q7" i="6"/>
  <c r="O7" i="6"/>
  <c r="N7" i="6"/>
  <c r="L7" i="6"/>
  <c r="G7" i="6"/>
  <c r="S7" i="6" s="1"/>
  <c r="Q6" i="6"/>
  <c r="O6" i="6"/>
  <c r="N6" i="6"/>
  <c r="L6" i="6"/>
  <c r="G6" i="6"/>
  <c r="S6" i="6" s="1"/>
  <c r="Q5" i="6"/>
  <c r="O5" i="6"/>
  <c r="N5" i="6"/>
  <c r="L5" i="6"/>
  <c r="G5" i="6"/>
  <c r="S5" i="6" s="1"/>
  <c r="Q4" i="6"/>
  <c r="O4" i="6"/>
  <c r="N4" i="6"/>
  <c r="L4" i="6"/>
  <c r="G4" i="6"/>
  <c r="S4" i="6" s="1"/>
  <c r="Q3" i="6"/>
  <c r="O3" i="6"/>
  <c r="N3" i="6"/>
  <c r="L3" i="6"/>
  <c r="G3" i="6"/>
  <c r="S3" i="6" s="1"/>
  <c r="Q2" i="6"/>
  <c r="O2" i="6"/>
  <c r="L2" i="6"/>
  <c r="G2" i="6"/>
  <c r="S2" i="6" s="1"/>
  <c r="Q23" i="3"/>
  <c r="O23" i="3"/>
  <c r="N23" i="3"/>
  <c r="L23" i="3"/>
  <c r="G23" i="3"/>
  <c r="S23" i="3" s="1"/>
  <c r="Q22" i="3"/>
  <c r="O22" i="3"/>
  <c r="N22" i="3"/>
  <c r="L22" i="3"/>
  <c r="G22" i="3"/>
  <c r="S22" i="3" s="1"/>
  <c r="Q21" i="3"/>
  <c r="O21" i="3"/>
  <c r="N21" i="3"/>
  <c r="L21" i="3"/>
  <c r="G21" i="3"/>
  <c r="S21" i="3" s="1"/>
  <c r="Q20" i="3"/>
  <c r="O20" i="3"/>
  <c r="N20" i="3"/>
  <c r="L20" i="3"/>
  <c r="G20" i="3"/>
  <c r="S20" i="3" s="1"/>
  <c r="Q19" i="3"/>
  <c r="O19" i="3"/>
  <c r="N19" i="3"/>
  <c r="L19" i="3"/>
  <c r="G19" i="3"/>
  <c r="S19" i="3" s="1"/>
  <c r="Q18" i="3"/>
  <c r="O18" i="3"/>
  <c r="N18" i="3"/>
  <c r="L18" i="3"/>
  <c r="G18" i="3"/>
  <c r="S18" i="3" s="1"/>
  <c r="Q17" i="3"/>
  <c r="O17" i="3"/>
  <c r="N17" i="3"/>
  <c r="L17" i="3"/>
  <c r="G17" i="3"/>
  <c r="P17" i="3" s="1"/>
  <c r="Q16" i="3"/>
  <c r="O16" i="3"/>
  <c r="N16" i="3"/>
  <c r="L16" i="3"/>
  <c r="G16" i="3"/>
  <c r="S16" i="3" s="1"/>
  <c r="Q15" i="3"/>
  <c r="O15" i="3"/>
  <c r="N15" i="3"/>
  <c r="L15" i="3"/>
  <c r="G15" i="3"/>
  <c r="S15" i="3" s="1"/>
  <c r="Q14" i="3"/>
  <c r="O14" i="3"/>
  <c r="N14" i="3"/>
  <c r="L14" i="3"/>
  <c r="G14" i="3"/>
  <c r="K14" i="3" s="1"/>
  <c r="Q13" i="3"/>
  <c r="O13" i="3"/>
  <c r="N13" i="3"/>
  <c r="L13" i="3"/>
  <c r="G13" i="3"/>
  <c r="S13" i="3" s="1"/>
  <c r="Q12" i="3"/>
  <c r="O12" i="3"/>
  <c r="N12" i="3"/>
  <c r="L12" i="3"/>
  <c r="G12" i="3"/>
  <c r="S12" i="3" s="1"/>
  <c r="Q11" i="3"/>
  <c r="O11" i="3"/>
  <c r="N11" i="3"/>
  <c r="L11" i="3"/>
  <c r="G11" i="3"/>
  <c r="S11" i="3" s="1"/>
  <c r="Q10" i="3"/>
  <c r="O10" i="3"/>
  <c r="N10" i="3"/>
  <c r="L10" i="3"/>
  <c r="G10" i="3"/>
  <c r="S10" i="3" s="1"/>
  <c r="Q9" i="3"/>
  <c r="O9" i="3"/>
  <c r="N9" i="3"/>
  <c r="L9" i="3"/>
  <c r="G9" i="3"/>
  <c r="S9" i="3" s="1"/>
  <c r="Q8" i="3"/>
  <c r="O8" i="3"/>
  <c r="N8" i="3"/>
  <c r="L8" i="3"/>
  <c r="G8" i="3"/>
  <c r="S8" i="3" s="1"/>
  <c r="Q7" i="3"/>
  <c r="O7" i="3"/>
  <c r="N7" i="3"/>
  <c r="L7" i="3"/>
  <c r="G7" i="3"/>
  <c r="S7" i="3" s="1"/>
  <c r="Q6" i="3"/>
  <c r="O6" i="3"/>
  <c r="N6" i="3"/>
  <c r="L6" i="3"/>
  <c r="G6" i="3"/>
  <c r="S6" i="3" s="1"/>
  <c r="Q5" i="3"/>
  <c r="O5" i="3"/>
  <c r="N5" i="3"/>
  <c r="L5" i="3"/>
  <c r="G5" i="3"/>
  <c r="S5" i="3" s="1"/>
  <c r="Q4" i="3"/>
  <c r="O4" i="3"/>
  <c r="N4" i="3"/>
  <c r="L4" i="3"/>
  <c r="G4" i="3"/>
  <c r="S4" i="3" s="1"/>
  <c r="Q3" i="3"/>
  <c r="O3" i="3"/>
  <c r="N3" i="3"/>
  <c r="L3" i="3"/>
  <c r="G3" i="3"/>
  <c r="S3" i="3" s="1"/>
  <c r="Q2" i="3"/>
  <c r="O2" i="3"/>
  <c r="N2" i="3"/>
  <c r="L2" i="3"/>
  <c r="G2" i="3"/>
  <c r="S2" i="3" s="1"/>
  <c r="R12" i="4"/>
  <c r="P12" i="4"/>
  <c r="O12" i="4"/>
  <c r="M12" i="4"/>
  <c r="H12" i="4"/>
  <c r="T12" i="4" s="1"/>
  <c r="R11" i="4"/>
  <c r="P11" i="4"/>
  <c r="O11" i="4"/>
  <c r="M11" i="4"/>
  <c r="H11" i="4"/>
  <c r="T11" i="4" s="1"/>
  <c r="R10" i="4"/>
  <c r="P10" i="4"/>
  <c r="O10" i="4"/>
  <c r="M10" i="4"/>
  <c r="H10" i="4"/>
  <c r="T10" i="4" s="1"/>
  <c r="R9" i="4"/>
  <c r="P9" i="4"/>
  <c r="O9" i="4"/>
  <c r="M9" i="4"/>
  <c r="H9" i="4"/>
  <c r="T9" i="4" s="1"/>
  <c r="R8" i="4"/>
  <c r="P8" i="4"/>
  <c r="O8" i="4"/>
  <c r="M8" i="4"/>
  <c r="H8" i="4"/>
  <c r="R7" i="4"/>
  <c r="P7" i="4"/>
  <c r="O7" i="4"/>
  <c r="M7" i="4"/>
  <c r="H7" i="4"/>
  <c r="T7" i="4" s="1"/>
  <c r="R6" i="4"/>
  <c r="P6" i="4"/>
  <c r="O6" i="4"/>
  <c r="M6" i="4"/>
  <c r="H6" i="4"/>
  <c r="T6" i="4" s="1"/>
  <c r="R5" i="4"/>
  <c r="P5" i="4"/>
  <c r="O5" i="4"/>
  <c r="M5" i="4"/>
  <c r="H5" i="4"/>
  <c r="T5" i="4" s="1"/>
  <c r="R4" i="4"/>
  <c r="P4" i="4"/>
  <c r="O4" i="4"/>
  <c r="M4" i="4"/>
  <c r="H4" i="4"/>
  <c r="T4" i="4" s="1"/>
  <c r="R3" i="4"/>
  <c r="P3" i="4"/>
  <c r="O3" i="4"/>
  <c r="M3" i="4"/>
  <c r="H3" i="4"/>
  <c r="T3" i="4" s="1"/>
  <c r="R2" i="4"/>
  <c r="P2" i="4"/>
  <c r="O2" i="4"/>
  <c r="M2" i="4"/>
  <c r="H2" i="4"/>
  <c r="T2" i="4" s="1"/>
  <c r="R34" i="4"/>
  <c r="P34" i="4"/>
  <c r="O34" i="4"/>
  <c r="M34" i="4"/>
  <c r="H34" i="4"/>
  <c r="T34" i="4" s="1"/>
  <c r="R33" i="4"/>
  <c r="P33" i="4"/>
  <c r="O33" i="4"/>
  <c r="M33" i="4"/>
  <c r="H33" i="4"/>
  <c r="T33" i="4" s="1"/>
  <c r="R32" i="4"/>
  <c r="P32" i="4"/>
  <c r="O32" i="4"/>
  <c r="M32" i="4"/>
  <c r="H32" i="4"/>
  <c r="T32" i="4" s="1"/>
  <c r="R31" i="4"/>
  <c r="P31" i="4"/>
  <c r="O31" i="4"/>
  <c r="M31" i="4"/>
  <c r="H31" i="4"/>
  <c r="T31" i="4" s="1"/>
  <c r="R30" i="4"/>
  <c r="P30" i="4"/>
  <c r="O30" i="4"/>
  <c r="M30" i="4"/>
  <c r="H30" i="4"/>
  <c r="T30" i="4" s="1"/>
  <c r="R29" i="4"/>
  <c r="P29" i="4"/>
  <c r="O29" i="4"/>
  <c r="M29" i="4"/>
  <c r="H29" i="4"/>
  <c r="T29" i="4" s="1"/>
  <c r="R28" i="4"/>
  <c r="P28" i="4"/>
  <c r="O28" i="4"/>
  <c r="M28" i="4"/>
  <c r="H28" i="4"/>
  <c r="R27" i="4"/>
  <c r="P27" i="4"/>
  <c r="O27" i="4"/>
  <c r="M27" i="4"/>
  <c r="H27" i="4"/>
  <c r="T27" i="4" s="1"/>
  <c r="R26" i="4"/>
  <c r="P26" i="4"/>
  <c r="O26" i="4"/>
  <c r="M26" i="4"/>
  <c r="H26" i="4"/>
  <c r="T26" i="4" s="1"/>
  <c r="R25" i="4"/>
  <c r="P25" i="4"/>
  <c r="O25" i="4"/>
  <c r="M25" i="4"/>
  <c r="H25" i="4"/>
  <c r="T25" i="4" s="1"/>
  <c r="R24" i="4"/>
  <c r="P24" i="4"/>
  <c r="O24" i="4"/>
  <c r="M24" i="4"/>
  <c r="H24" i="4"/>
  <c r="T24" i="4" s="1"/>
  <c r="R23" i="4"/>
  <c r="P23" i="4"/>
  <c r="O23" i="4"/>
  <c r="M23" i="4"/>
  <c r="H23" i="4"/>
  <c r="T23" i="4" s="1"/>
  <c r="R22" i="4"/>
  <c r="P22" i="4"/>
  <c r="O22" i="4"/>
  <c r="M22" i="4"/>
  <c r="H22" i="4"/>
  <c r="T22" i="4" s="1"/>
  <c r="R21" i="4"/>
  <c r="P21" i="4"/>
  <c r="O21" i="4"/>
  <c r="M21" i="4"/>
  <c r="H21" i="4"/>
  <c r="T21" i="4" s="1"/>
  <c r="R20" i="4"/>
  <c r="P20" i="4"/>
  <c r="O20" i="4"/>
  <c r="M20" i="4"/>
  <c r="H20" i="4"/>
  <c r="T20" i="4" s="1"/>
  <c r="R19" i="4"/>
  <c r="P19" i="4"/>
  <c r="O19" i="4"/>
  <c r="M19" i="4"/>
  <c r="H19" i="4"/>
  <c r="T19" i="4" s="1"/>
  <c r="R18" i="4"/>
  <c r="P18" i="4"/>
  <c r="O18" i="4"/>
  <c r="M18" i="4"/>
  <c r="H18" i="4"/>
  <c r="T18" i="4" s="1"/>
  <c r="R17" i="4"/>
  <c r="P17" i="4"/>
  <c r="O17" i="4"/>
  <c r="M17" i="4"/>
  <c r="H17" i="4"/>
  <c r="T17" i="4" s="1"/>
  <c r="R16" i="4"/>
  <c r="P16" i="4"/>
  <c r="O16" i="4"/>
  <c r="M16" i="4"/>
  <c r="H16" i="4"/>
  <c r="T16" i="4" s="1"/>
  <c r="R15" i="4"/>
  <c r="P15" i="4"/>
  <c r="O15" i="4"/>
  <c r="M15" i="4"/>
  <c r="H15" i="4"/>
  <c r="T15" i="4" s="1"/>
  <c r="R14" i="4"/>
  <c r="P14" i="4"/>
  <c r="O14" i="4"/>
  <c r="M14" i="4"/>
  <c r="H14" i="4"/>
  <c r="T14" i="4" s="1"/>
  <c r="R13" i="4"/>
  <c r="P13" i="4"/>
  <c r="O13" i="4"/>
  <c r="M13" i="4"/>
  <c r="H13" i="4"/>
  <c r="T13" i="4" s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2" i="1"/>
  <c r="G3" i="1"/>
  <c r="K3" i="1" s="1"/>
  <c r="G4" i="1"/>
  <c r="K4" i="1" s="1"/>
  <c r="G5" i="1"/>
  <c r="S5" i="1" s="1"/>
  <c r="G6" i="1"/>
  <c r="K6" i="1" s="1"/>
  <c r="G7" i="1"/>
  <c r="K7" i="1" s="1"/>
  <c r="G8" i="1"/>
  <c r="S8" i="1" s="1"/>
  <c r="G9" i="1"/>
  <c r="S9" i="1" s="1"/>
  <c r="G10" i="1"/>
  <c r="S10" i="1" s="1"/>
  <c r="G11" i="1"/>
  <c r="S11" i="1" s="1"/>
  <c r="G12" i="1"/>
  <c r="S12" i="1" s="1"/>
  <c r="G13" i="1"/>
  <c r="S13" i="1" s="1"/>
  <c r="G14" i="1"/>
  <c r="S14" i="1" s="1"/>
  <c r="G15" i="1"/>
  <c r="S15" i="1" s="1"/>
  <c r="G16" i="1"/>
  <c r="K16" i="1" s="1"/>
  <c r="G17" i="1"/>
  <c r="P17" i="1" s="1"/>
  <c r="G18" i="1"/>
  <c r="P18" i="1" s="1"/>
  <c r="G19" i="1"/>
  <c r="S19" i="1" s="1"/>
  <c r="G20" i="1"/>
  <c r="S20" i="1" s="1"/>
  <c r="G21" i="1"/>
  <c r="S21" i="1" s="1"/>
  <c r="G22" i="1"/>
  <c r="S22" i="1" s="1"/>
  <c r="G23" i="1"/>
  <c r="P23" i="1" s="1"/>
  <c r="G24" i="1"/>
  <c r="S24" i="1" s="1"/>
  <c r="G25" i="1"/>
  <c r="S25" i="1" s="1"/>
  <c r="G26" i="1"/>
  <c r="P26" i="1" s="1"/>
  <c r="G27" i="1"/>
  <c r="G28" i="1"/>
  <c r="P28" i="1" s="1"/>
  <c r="G29" i="1"/>
  <c r="S29" i="1" s="1"/>
  <c r="G30" i="1"/>
  <c r="K30" i="1" s="1"/>
  <c r="G31" i="1"/>
  <c r="P31" i="1" s="1"/>
  <c r="G32" i="1"/>
  <c r="S32" i="1" s="1"/>
  <c r="G33" i="1"/>
  <c r="K33" i="1" s="1"/>
  <c r="G34" i="1"/>
  <c r="S34" i="1" s="1"/>
  <c r="N11" i="1"/>
  <c r="O11" i="1"/>
  <c r="Q11" i="1"/>
  <c r="AB11" i="1"/>
  <c r="N12" i="1"/>
  <c r="O12" i="1"/>
  <c r="Q12" i="1"/>
  <c r="AB12" i="1"/>
  <c r="N10" i="1"/>
  <c r="N3" i="1"/>
  <c r="N4" i="1"/>
  <c r="N5" i="1"/>
  <c r="N6" i="1"/>
  <c r="N7" i="1"/>
  <c r="N8" i="1"/>
  <c r="N9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AB34" i="1"/>
  <c r="Q34" i="1"/>
  <c r="O34" i="1"/>
  <c r="AB33" i="1"/>
  <c r="Q33" i="1"/>
  <c r="O33" i="1"/>
  <c r="AB32" i="1"/>
  <c r="Q32" i="1"/>
  <c r="O32" i="1"/>
  <c r="AB31" i="1"/>
  <c r="Q31" i="1"/>
  <c r="O31" i="1"/>
  <c r="AB30" i="1"/>
  <c r="Q30" i="1"/>
  <c r="O30" i="1"/>
  <c r="AB29" i="1"/>
  <c r="Q29" i="1"/>
  <c r="O29" i="1"/>
  <c r="AB28" i="1"/>
  <c r="Q28" i="1"/>
  <c r="O28" i="1"/>
  <c r="AB27" i="1"/>
  <c r="Q27" i="1"/>
  <c r="O27" i="1"/>
  <c r="AB26" i="1"/>
  <c r="Q26" i="1"/>
  <c r="O26" i="1"/>
  <c r="AB25" i="1"/>
  <c r="Q25" i="1"/>
  <c r="O25" i="1"/>
  <c r="AB24" i="1"/>
  <c r="Q24" i="1"/>
  <c r="O24" i="1"/>
  <c r="AB23" i="1"/>
  <c r="Q23" i="1"/>
  <c r="O23" i="1"/>
  <c r="AB22" i="1"/>
  <c r="Q22" i="1"/>
  <c r="O22" i="1"/>
  <c r="AB21" i="1"/>
  <c r="Q21" i="1"/>
  <c r="O21" i="1"/>
  <c r="AB20" i="1"/>
  <c r="Q20" i="1"/>
  <c r="O20" i="1"/>
  <c r="AB19" i="1"/>
  <c r="Q19" i="1"/>
  <c r="O19" i="1"/>
  <c r="AB18" i="1"/>
  <c r="Q18" i="1"/>
  <c r="O18" i="1"/>
  <c r="AB17" i="1"/>
  <c r="Q17" i="1"/>
  <c r="O17" i="1"/>
  <c r="AB16" i="1"/>
  <c r="Q16" i="1"/>
  <c r="O16" i="1"/>
  <c r="AB15" i="1"/>
  <c r="Q15" i="1"/>
  <c r="O15" i="1"/>
  <c r="AB14" i="1"/>
  <c r="Q14" i="1"/>
  <c r="O14" i="1"/>
  <c r="AB13" i="1"/>
  <c r="Q13" i="1"/>
  <c r="O13" i="1"/>
  <c r="O5" i="1"/>
  <c r="Q5" i="1"/>
  <c r="AB5" i="1"/>
  <c r="O6" i="1"/>
  <c r="Q6" i="1"/>
  <c r="AB6" i="1"/>
  <c r="O7" i="1"/>
  <c r="Q7" i="1"/>
  <c r="AB7" i="1"/>
  <c r="O8" i="1"/>
  <c r="Q8" i="1"/>
  <c r="AB8" i="1"/>
  <c r="O9" i="1"/>
  <c r="Q9" i="1"/>
  <c r="AB9" i="1"/>
  <c r="O10" i="1"/>
  <c r="Q10" i="1"/>
  <c r="AB10" i="1"/>
  <c r="S18" i="1" l="1"/>
  <c r="S6" i="1"/>
  <c r="S23" i="1"/>
  <c r="S4" i="1"/>
  <c r="S33" i="1"/>
  <c r="S16" i="1"/>
  <c r="S17" i="1"/>
  <c r="W2" i="1"/>
  <c r="Y2" i="1" s="1"/>
  <c r="S30" i="1"/>
  <c r="S28" i="1"/>
  <c r="S7" i="1"/>
  <c r="S31" i="1"/>
  <c r="AF2" i="1"/>
  <c r="S26" i="1"/>
  <c r="S3" i="1"/>
  <c r="T14" i="9"/>
  <c r="U14" i="9" s="1"/>
  <c r="V14" i="9" s="1"/>
  <c r="R38" i="9"/>
  <c r="W38" i="9" s="1"/>
  <c r="Y38" i="9" s="1"/>
  <c r="T3" i="9"/>
  <c r="U3" i="9" s="1"/>
  <c r="V3" i="9" s="1"/>
  <c r="T54" i="9"/>
  <c r="U54" i="9" s="1"/>
  <c r="V54" i="9" s="1"/>
  <c r="T47" i="9"/>
  <c r="U47" i="9" s="1"/>
  <c r="V47" i="9" s="1"/>
  <c r="T12" i="9"/>
  <c r="U12" i="9" s="1"/>
  <c r="V12" i="9" s="1"/>
  <c r="T43" i="9"/>
  <c r="U43" i="9" s="1"/>
  <c r="V43" i="9" s="1"/>
  <c r="R52" i="9"/>
  <c r="W52" i="9" s="1"/>
  <c r="Y52" i="9" s="1"/>
  <c r="T34" i="9"/>
  <c r="U34" i="9" s="1"/>
  <c r="V34" i="9" s="1"/>
  <c r="T5" i="9"/>
  <c r="U5" i="9" s="1"/>
  <c r="V5" i="9" s="1"/>
  <c r="T32" i="9"/>
  <c r="U32" i="9" s="1"/>
  <c r="V32" i="9" s="1"/>
  <c r="T36" i="9"/>
  <c r="U36" i="9" s="1"/>
  <c r="V36" i="9" s="1"/>
  <c r="AF45" i="9"/>
  <c r="AG45" i="9" s="1"/>
  <c r="R26" i="9"/>
  <c r="W26" i="9" s="1"/>
  <c r="Y26" i="9" s="1"/>
  <c r="AF26" i="9"/>
  <c r="AG26" i="9" s="1"/>
  <c r="R4" i="9"/>
  <c r="W4" i="9" s="1"/>
  <c r="Y4" i="9" s="1"/>
  <c r="AF4" i="9"/>
  <c r="AG4" i="9" s="1"/>
  <c r="R15" i="9"/>
  <c r="AF15" i="9"/>
  <c r="AG15" i="9" s="1"/>
  <c r="R6" i="9"/>
  <c r="W6" i="9" s="1"/>
  <c r="Y6" i="9" s="1"/>
  <c r="AF6" i="9"/>
  <c r="AG6" i="9" s="1"/>
  <c r="R8" i="9"/>
  <c r="R17" i="9"/>
  <c r="AF17" i="9"/>
  <c r="AG17" i="9" s="1"/>
  <c r="R53" i="9"/>
  <c r="W53" i="9" s="1"/>
  <c r="Y53" i="9" s="1"/>
  <c r="AF53" i="9"/>
  <c r="AG53" i="9" s="1"/>
  <c r="W45" i="9"/>
  <c r="Y45" i="9" s="1"/>
  <c r="T45" i="9"/>
  <c r="U45" i="9" s="1"/>
  <c r="V45" i="9" s="1"/>
  <c r="R49" i="9"/>
  <c r="W49" i="9" s="1"/>
  <c r="Y49" i="9" s="1"/>
  <c r="AF49" i="9"/>
  <c r="AG49" i="9" s="1"/>
  <c r="R23" i="9"/>
  <c r="AF23" i="9"/>
  <c r="AG23" i="9" s="1"/>
  <c r="R20" i="9"/>
  <c r="AF20" i="9"/>
  <c r="AG20" i="9" s="1"/>
  <c r="R18" i="9"/>
  <c r="W18" i="9" s="1"/>
  <c r="Y18" i="9" s="1"/>
  <c r="AF18" i="9"/>
  <c r="AG18" i="9" s="1"/>
  <c r="R24" i="9"/>
  <c r="W24" i="9" s="1"/>
  <c r="Y24" i="9" s="1"/>
  <c r="AF24" i="9"/>
  <c r="AG24" i="9" s="1"/>
  <c r="R51" i="9"/>
  <c r="W51" i="9" s="1"/>
  <c r="Y51" i="9" s="1"/>
  <c r="R33" i="9"/>
  <c r="W33" i="9" s="1"/>
  <c r="Y33" i="9" s="1"/>
  <c r="AF33" i="9"/>
  <c r="AG33" i="9" s="1"/>
  <c r="R42" i="9"/>
  <c r="AF42" i="9"/>
  <c r="AG42" i="9" s="1"/>
  <c r="R28" i="9"/>
  <c r="W28" i="9" s="1"/>
  <c r="Y28" i="9" s="1"/>
  <c r="AF28" i="9"/>
  <c r="AG28" i="9" s="1"/>
  <c r="R19" i="9"/>
  <c r="AF19" i="9"/>
  <c r="AG19" i="9" s="1"/>
  <c r="R55" i="9"/>
  <c r="AF55" i="9"/>
  <c r="AG55" i="9" s="1"/>
  <c r="R11" i="9"/>
  <c r="W11" i="9" s="1"/>
  <c r="Y11" i="9" s="1"/>
  <c r="AF11" i="9"/>
  <c r="AG11" i="9" s="1"/>
  <c r="R29" i="9"/>
  <c r="W29" i="9" s="1"/>
  <c r="Y29" i="9" s="1"/>
  <c r="AF29" i="9"/>
  <c r="AG29" i="9" s="1"/>
  <c r="R39" i="9"/>
  <c r="W39" i="9" s="1"/>
  <c r="Y39" i="9" s="1"/>
  <c r="AF39" i="9"/>
  <c r="AG39" i="9" s="1"/>
  <c r="R41" i="9"/>
  <c r="AF41" i="9"/>
  <c r="AG41" i="9" s="1"/>
  <c r="R44" i="9"/>
  <c r="W44" i="9" s="1"/>
  <c r="Y44" i="9" s="1"/>
  <c r="AF44" i="9"/>
  <c r="AG44" i="9" s="1"/>
  <c r="R27" i="9"/>
  <c r="W27" i="9" s="1"/>
  <c r="Y27" i="9" s="1"/>
  <c r="AF27" i="9"/>
  <c r="AG27" i="9" s="1"/>
  <c r="R35" i="9"/>
  <c r="AF35" i="9"/>
  <c r="AG35" i="9" s="1"/>
  <c r="R46" i="9"/>
  <c r="W46" i="9" s="1"/>
  <c r="Y46" i="9" s="1"/>
  <c r="AF46" i="9"/>
  <c r="AG46" i="9" s="1"/>
  <c r="R13" i="9"/>
  <c r="W13" i="9" s="1"/>
  <c r="Y13" i="9" s="1"/>
  <c r="AF13" i="9"/>
  <c r="AG13" i="9" s="1"/>
  <c r="T30" i="9"/>
  <c r="U30" i="9" s="1"/>
  <c r="V30" i="9" s="1"/>
  <c r="R9" i="9"/>
  <c r="W9" i="9" s="1"/>
  <c r="Y9" i="9" s="1"/>
  <c r="AF9" i="9"/>
  <c r="AG9" i="9" s="1"/>
  <c r="R22" i="9"/>
  <c r="W22" i="9" s="1"/>
  <c r="Y22" i="9" s="1"/>
  <c r="AF22" i="9"/>
  <c r="AG22" i="9" s="1"/>
  <c r="R16" i="9"/>
  <c r="AF16" i="9"/>
  <c r="AG16" i="9" s="1"/>
  <c r="R40" i="9"/>
  <c r="W40" i="9" s="1"/>
  <c r="Y40" i="9" s="1"/>
  <c r="AF40" i="9"/>
  <c r="AG40" i="9" s="1"/>
  <c r="R37" i="9"/>
  <c r="W37" i="9" s="1"/>
  <c r="Y37" i="9" s="1"/>
  <c r="AF37" i="9"/>
  <c r="AG37" i="9" s="1"/>
  <c r="R48" i="9"/>
  <c r="W48" i="9" s="1"/>
  <c r="Y48" i="9" s="1"/>
  <c r="AF48" i="9"/>
  <c r="AG48" i="9" s="1"/>
  <c r="R50" i="9"/>
  <c r="AF50" i="9"/>
  <c r="AG50" i="9" s="1"/>
  <c r="R10" i="9"/>
  <c r="AF10" i="9"/>
  <c r="AG10" i="9" s="1"/>
  <c r="R2" i="9"/>
  <c r="W2" i="9" s="1"/>
  <c r="Y2" i="9" s="1"/>
  <c r="AF2" i="9"/>
  <c r="AG2" i="9" s="1"/>
  <c r="T8" i="14"/>
  <c r="E8" i="14" s="1"/>
  <c r="L8" i="14" s="1"/>
  <c r="AF78" i="6"/>
  <c r="AG78" i="6" s="1"/>
  <c r="AF58" i="6"/>
  <c r="AG58" i="6" s="1"/>
  <c r="T56" i="6"/>
  <c r="U56" i="6" s="1"/>
  <c r="V56" i="6" s="1"/>
  <c r="AF98" i="6"/>
  <c r="AG98" i="6" s="1"/>
  <c r="AF84" i="6"/>
  <c r="AG84" i="6" s="1"/>
  <c r="T72" i="6"/>
  <c r="U72" i="6" s="1"/>
  <c r="V72" i="6" s="1"/>
  <c r="AF77" i="6"/>
  <c r="AG77" i="6" s="1"/>
  <c r="T62" i="6"/>
  <c r="U62" i="6" s="1"/>
  <c r="V62" i="6" s="1"/>
  <c r="T100" i="6"/>
  <c r="U100" i="6" s="1"/>
  <c r="V100" i="6" s="1"/>
  <c r="T54" i="6"/>
  <c r="U54" i="6" s="1"/>
  <c r="V54" i="6" s="1"/>
  <c r="AF49" i="6"/>
  <c r="AG49" i="6" s="1"/>
  <c r="S18" i="6"/>
  <c r="T18" i="6" s="1"/>
  <c r="U18" i="6" s="1"/>
  <c r="V18" i="6" s="1"/>
  <c r="AF18" i="6"/>
  <c r="AG18" i="6" s="1"/>
  <c r="AF21" i="6"/>
  <c r="AG21" i="6" s="1"/>
  <c r="T78" i="6"/>
  <c r="U78" i="6" s="1"/>
  <c r="V78" i="6" s="1"/>
  <c r="T65" i="6"/>
  <c r="U65" i="6" s="1"/>
  <c r="V65" i="6" s="1"/>
  <c r="T57" i="6"/>
  <c r="U57" i="6" s="1"/>
  <c r="V57" i="6" s="1"/>
  <c r="AF86" i="6"/>
  <c r="AG86" i="6" s="1"/>
  <c r="AF53" i="6"/>
  <c r="AG53" i="6" s="1"/>
  <c r="AF69" i="6"/>
  <c r="AG69" i="6" s="1"/>
  <c r="AF92" i="6"/>
  <c r="AG92" i="6" s="1"/>
  <c r="AF29" i="6"/>
  <c r="AG29" i="6" s="1"/>
  <c r="AF4" i="6"/>
  <c r="AG4" i="6" s="1"/>
  <c r="AF96" i="6"/>
  <c r="AG96" i="6" s="1"/>
  <c r="AF68" i="6"/>
  <c r="AG68" i="6" s="1"/>
  <c r="AF88" i="6"/>
  <c r="AG88" i="6" s="1"/>
  <c r="AF85" i="6"/>
  <c r="AG85" i="6" s="1"/>
  <c r="S39" i="6"/>
  <c r="AF90" i="6"/>
  <c r="AG90" i="6" s="1"/>
  <c r="AF80" i="6"/>
  <c r="AG80" i="6" s="1"/>
  <c r="AF46" i="6"/>
  <c r="AG46" i="6" s="1"/>
  <c r="AF74" i="6"/>
  <c r="AG74" i="6" s="1"/>
  <c r="R18" i="6"/>
  <c r="W18" i="6" s="1"/>
  <c r="Y18" i="6" s="1"/>
  <c r="R21" i="6"/>
  <c r="W21" i="6" s="1"/>
  <c r="Y21" i="6" s="1"/>
  <c r="AF50" i="6"/>
  <c r="AG50" i="6" s="1"/>
  <c r="AF91" i="6"/>
  <c r="AG91" i="6" s="1"/>
  <c r="AF89" i="6"/>
  <c r="AG89" i="6" s="1"/>
  <c r="AF71" i="6"/>
  <c r="AG71" i="6" s="1"/>
  <c r="AF100" i="6"/>
  <c r="AG100" i="6" s="1"/>
  <c r="AF19" i="6"/>
  <c r="AG19" i="6" s="1"/>
  <c r="AF83" i="6"/>
  <c r="AG83" i="6" s="1"/>
  <c r="AF56" i="6"/>
  <c r="AG56" i="6" s="1"/>
  <c r="AF65" i="6"/>
  <c r="AG65" i="6" s="1"/>
  <c r="AF87" i="6"/>
  <c r="AG87" i="6" s="1"/>
  <c r="AF52" i="6"/>
  <c r="AG52" i="6" s="1"/>
  <c r="AF60" i="6"/>
  <c r="AG60" i="6" s="1"/>
  <c r="AF64" i="6"/>
  <c r="AG64" i="6" s="1"/>
  <c r="AF5" i="6"/>
  <c r="AG5" i="6" s="1"/>
  <c r="AF24" i="6"/>
  <c r="AG24" i="6" s="1"/>
  <c r="AF73" i="6"/>
  <c r="AG73" i="6" s="1"/>
  <c r="AF55" i="6"/>
  <c r="AG55" i="6" s="1"/>
  <c r="AF61" i="6"/>
  <c r="AG61" i="6" s="1"/>
  <c r="AF47" i="6"/>
  <c r="AG47" i="6" s="1"/>
  <c r="AF95" i="6"/>
  <c r="AG95" i="6" s="1"/>
  <c r="AF70" i="6"/>
  <c r="AG70" i="6" s="1"/>
  <c r="AF81" i="6"/>
  <c r="AG81" i="6" s="1"/>
  <c r="AF12" i="6"/>
  <c r="AG12" i="6" s="1"/>
  <c r="AF57" i="6"/>
  <c r="AG57" i="6" s="1"/>
  <c r="AF54" i="6"/>
  <c r="AG54" i="6" s="1"/>
  <c r="AF31" i="6"/>
  <c r="AG31" i="6" s="1"/>
  <c r="AF62" i="6"/>
  <c r="AG62" i="6" s="1"/>
  <c r="AF48" i="6"/>
  <c r="AG48" i="6" s="1"/>
  <c r="AF94" i="6"/>
  <c r="AG94" i="6" s="1"/>
  <c r="S14" i="3"/>
  <c r="AG17" i="3"/>
  <c r="AH17" i="3" s="1"/>
  <c r="S17" i="3"/>
  <c r="J19" i="3"/>
  <c r="T52" i="9"/>
  <c r="U52" i="9" s="1"/>
  <c r="V52" i="9" s="1"/>
  <c r="T56" i="9"/>
  <c r="U56" i="9" s="1"/>
  <c r="V56" i="9" s="1"/>
  <c r="T38" i="9"/>
  <c r="U38" i="9" s="1"/>
  <c r="V38" i="9" s="1"/>
  <c r="T31" i="9"/>
  <c r="U31" i="9" s="1"/>
  <c r="V31" i="9" s="1"/>
  <c r="T25" i="9"/>
  <c r="U25" i="9" s="1"/>
  <c r="V25" i="9" s="1"/>
  <c r="T7" i="9"/>
  <c r="U7" i="9" s="1"/>
  <c r="V7" i="9" s="1"/>
  <c r="T2" i="9"/>
  <c r="U2" i="9" s="1"/>
  <c r="V2" i="9" s="1"/>
  <c r="T51" i="6"/>
  <c r="U51" i="6" s="1"/>
  <c r="V51" i="6" s="1"/>
  <c r="T84" i="6"/>
  <c r="U84" i="6" s="1"/>
  <c r="V84" i="6" s="1"/>
  <c r="T81" i="6"/>
  <c r="U81" i="6" s="1"/>
  <c r="V81" i="6" s="1"/>
  <c r="T61" i="6"/>
  <c r="U61" i="6" s="1"/>
  <c r="V61" i="6" s="1"/>
  <c r="T98" i="6"/>
  <c r="U98" i="6" s="1"/>
  <c r="V98" i="6" s="1"/>
  <c r="T63" i="6"/>
  <c r="U63" i="6" s="1"/>
  <c r="V63" i="6" s="1"/>
  <c r="T91" i="6"/>
  <c r="U91" i="6" s="1"/>
  <c r="V91" i="6" s="1"/>
  <c r="T50" i="6"/>
  <c r="U50" i="6" s="1"/>
  <c r="V50" i="6" s="1"/>
  <c r="T58" i="6"/>
  <c r="U58" i="6" s="1"/>
  <c r="V58" i="6" s="1"/>
  <c r="T85" i="6"/>
  <c r="U85" i="6" s="1"/>
  <c r="V85" i="6" s="1"/>
  <c r="T89" i="6"/>
  <c r="U89" i="6" s="1"/>
  <c r="V89" i="6" s="1"/>
  <c r="T48" i="6"/>
  <c r="U48" i="6" s="1"/>
  <c r="V48" i="6" s="1"/>
  <c r="T99" i="6"/>
  <c r="U99" i="6" s="1"/>
  <c r="V99" i="6" s="1"/>
  <c r="T92" i="6"/>
  <c r="U92" i="6" s="1"/>
  <c r="V92" i="6" s="1"/>
  <c r="T94" i="6"/>
  <c r="U94" i="6" s="1"/>
  <c r="V94" i="6" s="1"/>
  <c r="T90" i="6"/>
  <c r="U90" i="6" s="1"/>
  <c r="V90" i="6" s="1"/>
  <c r="T96" i="6"/>
  <c r="U96" i="6" s="1"/>
  <c r="V96" i="6" s="1"/>
  <c r="T95" i="6"/>
  <c r="U95" i="6" s="1"/>
  <c r="V95" i="6" s="1"/>
  <c r="T64" i="6"/>
  <c r="U64" i="6" s="1"/>
  <c r="V64" i="6" s="1"/>
  <c r="T80" i="6"/>
  <c r="U80" i="6" s="1"/>
  <c r="V80" i="6" s="1"/>
  <c r="T88" i="6"/>
  <c r="U88" i="6" s="1"/>
  <c r="V88" i="6" s="1"/>
  <c r="T60" i="6"/>
  <c r="U60" i="6" s="1"/>
  <c r="V60" i="6" s="1"/>
  <c r="T79" i="6"/>
  <c r="U79" i="6" s="1"/>
  <c r="V79" i="6" s="1"/>
  <c r="T77" i="6"/>
  <c r="U77" i="6" s="1"/>
  <c r="V77" i="6" s="1"/>
  <c r="T73" i="6"/>
  <c r="U73" i="6" s="1"/>
  <c r="V73" i="6" s="1"/>
  <c r="T69" i="6"/>
  <c r="U69" i="6" s="1"/>
  <c r="V69" i="6" s="1"/>
  <c r="T68" i="6"/>
  <c r="U68" i="6" s="1"/>
  <c r="V68" i="6" s="1"/>
  <c r="T71" i="6"/>
  <c r="U71" i="6" s="1"/>
  <c r="V71" i="6" s="1"/>
  <c r="T53" i="6"/>
  <c r="U53" i="6" s="1"/>
  <c r="V53" i="6" s="1"/>
  <c r="T52" i="6"/>
  <c r="U52" i="6" s="1"/>
  <c r="V52" i="6" s="1"/>
  <c r="T47" i="6"/>
  <c r="U47" i="6" s="1"/>
  <c r="V47" i="6" s="1"/>
  <c r="T55" i="6"/>
  <c r="U55" i="6" s="1"/>
  <c r="V55" i="6" s="1"/>
  <c r="T49" i="6"/>
  <c r="U49" i="6" s="1"/>
  <c r="V49" i="6" s="1"/>
  <c r="L30" i="4"/>
  <c r="Q30" i="4"/>
  <c r="S30" i="4" s="1"/>
  <c r="X30" i="4" s="1"/>
  <c r="Z30" i="4" s="1"/>
  <c r="L34" i="4"/>
  <c r="L28" i="4"/>
  <c r="Q7" i="4"/>
  <c r="S7" i="4" s="1"/>
  <c r="X7" i="4" s="1"/>
  <c r="Z7" i="4" s="1"/>
  <c r="Q34" i="4"/>
  <c r="S34" i="4" s="1"/>
  <c r="X34" i="4" s="1"/>
  <c r="Z34" i="4" s="1"/>
  <c r="K30" i="4"/>
  <c r="K28" i="4"/>
  <c r="K19" i="6"/>
  <c r="P25" i="6"/>
  <c r="R25" i="6" s="1"/>
  <c r="W25" i="6" s="1"/>
  <c r="Y25" i="6" s="1"/>
  <c r="K34" i="6"/>
  <c r="P34" i="6"/>
  <c r="R34" i="6" s="1"/>
  <c r="W34" i="6" s="1"/>
  <c r="Y34" i="6" s="1"/>
  <c r="T34" i="6"/>
  <c r="U34" i="6" s="1"/>
  <c r="V34" i="6" s="1"/>
  <c r="K10" i="6"/>
  <c r="P10" i="6"/>
  <c r="R10" i="6" s="1"/>
  <c r="W10" i="6" s="1"/>
  <c r="Y10" i="6" s="1"/>
  <c r="T10" i="6"/>
  <c r="U10" i="6" s="1"/>
  <c r="V10" i="6" s="1"/>
  <c r="K12" i="6"/>
  <c r="P12" i="6"/>
  <c r="R12" i="6" s="1"/>
  <c r="W12" i="6" s="1"/>
  <c r="Y12" i="6" s="1"/>
  <c r="K36" i="6"/>
  <c r="P36" i="6"/>
  <c r="R36" i="6" s="1"/>
  <c r="W36" i="6" s="1"/>
  <c r="Y36" i="6" s="1"/>
  <c r="K45" i="6"/>
  <c r="P45" i="6"/>
  <c r="R45" i="6" s="1"/>
  <c r="W45" i="6" s="1"/>
  <c r="Y45" i="6" s="1"/>
  <c r="J45" i="6"/>
  <c r="K21" i="6"/>
  <c r="J34" i="6"/>
  <c r="J6" i="6"/>
  <c r="P38" i="6"/>
  <c r="R38" i="6" s="1"/>
  <c r="W38" i="6" s="1"/>
  <c r="Y38" i="6" s="1"/>
  <c r="K38" i="6"/>
  <c r="J38" i="6"/>
  <c r="P35" i="6"/>
  <c r="R35" i="6" s="1"/>
  <c r="W35" i="6" s="1"/>
  <c r="Y35" i="6" s="1"/>
  <c r="J35" i="6"/>
  <c r="K35" i="6"/>
  <c r="P40" i="6"/>
  <c r="R40" i="6" s="1"/>
  <c r="W40" i="6" s="1"/>
  <c r="Y40" i="6" s="1"/>
  <c r="K40" i="6"/>
  <c r="J40" i="6"/>
  <c r="P42" i="6"/>
  <c r="R42" i="6" s="1"/>
  <c r="W42" i="6" s="1"/>
  <c r="Y42" i="6" s="1"/>
  <c r="K42" i="6"/>
  <c r="J42" i="6"/>
  <c r="J37" i="6"/>
  <c r="K37" i="6"/>
  <c r="P37" i="6"/>
  <c r="R37" i="6" s="1"/>
  <c r="W37" i="6" s="1"/>
  <c r="Y37" i="6" s="1"/>
  <c r="P44" i="6"/>
  <c r="R44" i="6" s="1"/>
  <c r="W44" i="6" s="1"/>
  <c r="Y44" i="6" s="1"/>
  <c r="K44" i="6"/>
  <c r="J44" i="6"/>
  <c r="J41" i="6"/>
  <c r="K41" i="6"/>
  <c r="P41" i="6"/>
  <c r="R41" i="6" s="1"/>
  <c r="W41" i="6" s="1"/>
  <c r="Y41" i="6" s="1"/>
  <c r="K43" i="6"/>
  <c r="J43" i="6"/>
  <c r="P43" i="6"/>
  <c r="R43" i="6" s="1"/>
  <c r="W43" i="6" s="1"/>
  <c r="Y43" i="6" s="1"/>
  <c r="T43" i="6"/>
  <c r="U43" i="6" s="1"/>
  <c r="V43" i="6" s="1"/>
  <c r="K39" i="6"/>
  <c r="P39" i="6"/>
  <c r="R39" i="6" s="1"/>
  <c r="W39" i="6" s="1"/>
  <c r="Y39" i="6" s="1"/>
  <c r="J36" i="6"/>
  <c r="J25" i="6"/>
  <c r="J19" i="6"/>
  <c r="J21" i="6"/>
  <c r="P31" i="6"/>
  <c r="R31" i="6" s="1"/>
  <c r="W31" i="6" s="1"/>
  <c r="Y31" i="6" s="1"/>
  <c r="K31" i="6"/>
  <c r="J31" i="6"/>
  <c r="J26" i="6"/>
  <c r="K26" i="6"/>
  <c r="P26" i="6"/>
  <c r="R26" i="6" s="1"/>
  <c r="W26" i="6" s="1"/>
  <c r="Y26" i="6" s="1"/>
  <c r="J24" i="6"/>
  <c r="P24" i="6"/>
  <c r="R24" i="6" s="1"/>
  <c r="W24" i="6" s="1"/>
  <c r="Y24" i="6" s="1"/>
  <c r="K24" i="6"/>
  <c r="K33" i="6"/>
  <c r="J33" i="6"/>
  <c r="P33" i="6"/>
  <c r="R33" i="6" s="1"/>
  <c r="W33" i="6" s="1"/>
  <c r="Y33" i="6" s="1"/>
  <c r="P27" i="6"/>
  <c r="R27" i="6" s="1"/>
  <c r="W27" i="6" s="1"/>
  <c r="Y27" i="6" s="1"/>
  <c r="K27" i="6"/>
  <c r="J27" i="6"/>
  <c r="P29" i="6"/>
  <c r="R29" i="6" s="1"/>
  <c r="W29" i="6" s="1"/>
  <c r="Y29" i="6" s="1"/>
  <c r="K29" i="6"/>
  <c r="J29" i="6"/>
  <c r="P32" i="6"/>
  <c r="R32" i="6" s="1"/>
  <c r="W32" i="6" s="1"/>
  <c r="Y32" i="6" s="1"/>
  <c r="K32" i="6"/>
  <c r="J32" i="6"/>
  <c r="J30" i="6"/>
  <c r="P30" i="6"/>
  <c r="R30" i="6" s="1"/>
  <c r="W30" i="6" s="1"/>
  <c r="Y30" i="6" s="1"/>
  <c r="K30" i="6"/>
  <c r="J28" i="6"/>
  <c r="P28" i="6"/>
  <c r="R28" i="6" s="1"/>
  <c r="W28" i="6" s="1"/>
  <c r="Y28" i="6" s="1"/>
  <c r="K25" i="6"/>
  <c r="P15" i="6"/>
  <c r="R15" i="6" s="1"/>
  <c r="W15" i="6" s="1"/>
  <c r="Y15" i="6" s="1"/>
  <c r="K15" i="6"/>
  <c r="J15" i="6"/>
  <c r="K23" i="6"/>
  <c r="J23" i="6"/>
  <c r="P23" i="6"/>
  <c r="R23" i="6" s="1"/>
  <c r="W23" i="6" s="1"/>
  <c r="Y23" i="6" s="1"/>
  <c r="T23" i="6"/>
  <c r="U23" i="6" s="1"/>
  <c r="V23" i="6" s="1"/>
  <c r="K20" i="6"/>
  <c r="P20" i="6"/>
  <c r="R20" i="6" s="1"/>
  <c r="W20" i="6" s="1"/>
  <c r="Y20" i="6" s="1"/>
  <c r="J20" i="6"/>
  <c r="P13" i="6"/>
  <c r="R13" i="6" s="1"/>
  <c r="W13" i="6" s="1"/>
  <c r="Y13" i="6" s="1"/>
  <c r="K13" i="6"/>
  <c r="J13" i="6"/>
  <c r="K14" i="6"/>
  <c r="J14" i="6"/>
  <c r="P14" i="6"/>
  <c r="R14" i="6" s="1"/>
  <c r="W14" i="6" s="1"/>
  <c r="Y14" i="6" s="1"/>
  <c r="P22" i="6"/>
  <c r="R22" i="6" s="1"/>
  <c r="W22" i="6" s="1"/>
  <c r="Y22" i="6" s="1"/>
  <c r="K22" i="6"/>
  <c r="J22" i="6"/>
  <c r="P16" i="6"/>
  <c r="R16" i="6" s="1"/>
  <c r="W16" i="6" s="1"/>
  <c r="Y16" i="6" s="1"/>
  <c r="K16" i="6"/>
  <c r="J16" i="6"/>
  <c r="J17" i="6"/>
  <c r="P19" i="6"/>
  <c r="R19" i="6" s="1"/>
  <c r="W19" i="6" s="1"/>
  <c r="Y19" i="6" s="1"/>
  <c r="K17" i="6"/>
  <c r="T21" i="6"/>
  <c r="U21" i="6" s="1"/>
  <c r="V21" i="6" s="1"/>
  <c r="P17" i="6"/>
  <c r="R17" i="6" s="1"/>
  <c r="W17" i="6" s="1"/>
  <c r="Y17" i="6" s="1"/>
  <c r="J18" i="6"/>
  <c r="K18" i="6"/>
  <c r="R17" i="3"/>
  <c r="X17" i="3" s="1"/>
  <c r="Z17" i="3" s="1"/>
  <c r="K5" i="3"/>
  <c r="P5" i="3"/>
  <c r="R5" i="3" s="1"/>
  <c r="X5" i="3" s="1"/>
  <c r="Z5" i="3" s="1"/>
  <c r="K19" i="3"/>
  <c r="K10" i="3"/>
  <c r="P14" i="3"/>
  <c r="R14" i="3" s="1"/>
  <c r="X14" i="3" s="1"/>
  <c r="Z14" i="3" s="1"/>
  <c r="P10" i="3"/>
  <c r="R10" i="3" s="1"/>
  <c r="X10" i="3" s="1"/>
  <c r="Z10" i="3" s="1"/>
  <c r="J10" i="3"/>
  <c r="P2" i="6"/>
  <c r="R2" i="6" s="1"/>
  <c r="W2" i="6" s="1"/>
  <c r="Y2" i="6" s="1"/>
  <c r="J2" i="6"/>
  <c r="K2" i="6"/>
  <c r="P5" i="6"/>
  <c r="R5" i="6" s="1"/>
  <c r="W5" i="6" s="1"/>
  <c r="Y5" i="6" s="1"/>
  <c r="K5" i="6"/>
  <c r="J5" i="6"/>
  <c r="K9" i="6"/>
  <c r="P9" i="6"/>
  <c r="R9" i="6" s="1"/>
  <c r="W9" i="6" s="1"/>
  <c r="Y9" i="6" s="1"/>
  <c r="J9" i="6"/>
  <c r="J4" i="6"/>
  <c r="K4" i="6"/>
  <c r="P4" i="6"/>
  <c r="R4" i="6" s="1"/>
  <c r="W4" i="6" s="1"/>
  <c r="Y4" i="6" s="1"/>
  <c r="K11" i="6"/>
  <c r="P11" i="6"/>
  <c r="R11" i="6" s="1"/>
  <c r="W11" i="6" s="1"/>
  <c r="Y11" i="6" s="1"/>
  <c r="J11" i="6"/>
  <c r="J8" i="6"/>
  <c r="K8" i="6"/>
  <c r="P8" i="6"/>
  <c r="R8" i="6" s="1"/>
  <c r="W8" i="6" s="1"/>
  <c r="Y8" i="6" s="1"/>
  <c r="P7" i="6"/>
  <c r="R7" i="6" s="1"/>
  <c r="W7" i="6" s="1"/>
  <c r="Y7" i="6" s="1"/>
  <c r="K7" i="6"/>
  <c r="J7" i="6"/>
  <c r="P3" i="6"/>
  <c r="R3" i="6" s="1"/>
  <c r="W3" i="6" s="1"/>
  <c r="Y3" i="6" s="1"/>
  <c r="K3" i="6"/>
  <c r="J3" i="6"/>
  <c r="P6" i="6"/>
  <c r="R6" i="6" s="1"/>
  <c r="W6" i="6" s="1"/>
  <c r="Y6" i="6" s="1"/>
  <c r="J12" i="6"/>
  <c r="J10" i="6"/>
  <c r="K6" i="6"/>
  <c r="P16" i="3"/>
  <c r="R16" i="3" s="1"/>
  <c r="X16" i="3" s="1"/>
  <c r="Z16" i="3" s="1"/>
  <c r="K16" i="3"/>
  <c r="J16" i="3"/>
  <c r="K21" i="3"/>
  <c r="J21" i="3"/>
  <c r="P21" i="3"/>
  <c r="R21" i="3" s="1"/>
  <c r="X21" i="3" s="1"/>
  <c r="Z21" i="3" s="1"/>
  <c r="K13" i="3"/>
  <c r="P13" i="3"/>
  <c r="R13" i="3" s="1"/>
  <c r="X13" i="3" s="1"/>
  <c r="Z13" i="3" s="1"/>
  <c r="J13" i="3"/>
  <c r="K23" i="3"/>
  <c r="J23" i="3"/>
  <c r="P23" i="3"/>
  <c r="R23" i="3" s="1"/>
  <c r="X23" i="3" s="1"/>
  <c r="Z23" i="3" s="1"/>
  <c r="P18" i="3"/>
  <c r="R18" i="3" s="1"/>
  <c r="X18" i="3" s="1"/>
  <c r="Z18" i="3" s="1"/>
  <c r="K18" i="3"/>
  <c r="J18" i="3"/>
  <c r="P22" i="3"/>
  <c r="R22" i="3" s="1"/>
  <c r="X22" i="3" s="1"/>
  <c r="Z22" i="3" s="1"/>
  <c r="K22" i="3"/>
  <c r="J22" i="3"/>
  <c r="P15" i="3"/>
  <c r="R15" i="3" s="1"/>
  <c r="X15" i="3" s="1"/>
  <c r="Z15" i="3" s="1"/>
  <c r="K15" i="3"/>
  <c r="J15" i="3"/>
  <c r="J20" i="3"/>
  <c r="P20" i="3"/>
  <c r="R20" i="3" s="1"/>
  <c r="X20" i="3" s="1"/>
  <c r="Z20" i="3" s="1"/>
  <c r="K20" i="3"/>
  <c r="K17" i="3"/>
  <c r="J17" i="3"/>
  <c r="P19" i="3"/>
  <c r="R19" i="3" s="1"/>
  <c r="X19" i="3" s="1"/>
  <c r="Z19" i="3" s="1"/>
  <c r="J14" i="3"/>
  <c r="P2" i="3"/>
  <c r="R2" i="3" s="1"/>
  <c r="X2" i="3" s="1"/>
  <c r="Z2" i="3" s="1"/>
  <c r="K2" i="3"/>
  <c r="J2" i="3"/>
  <c r="P4" i="3"/>
  <c r="R4" i="3" s="1"/>
  <c r="X4" i="3" s="1"/>
  <c r="Z4" i="3" s="1"/>
  <c r="K4" i="3"/>
  <c r="J4" i="3"/>
  <c r="K12" i="3"/>
  <c r="J12" i="3"/>
  <c r="P12" i="3"/>
  <c r="R12" i="3" s="1"/>
  <c r="X12" i="3" s="1"/>
  <c r="Z12" i="3" s="1"/>
  <c r="P9" i="3"/>
  <c r="R9" i="3" s="1"/>
  <c r="X9" i="3" s="1"/>
  <c r="Z9" i="3" s="1"/>
  <c r="J9" i="3"/>
  <c r="K9" i="3"/>
  <c r="P6" i="3"/>
  <c r="R6" i="3" s="1"/>
  <c r="X6" i="3" s="1"/>
  <c r="Z6" i="3" s="1"/>
  <c r="K6" i="3"/>
  <c r="J6" i="3"/>
  <c r="J3" i="3"/>
  <c r="P3" i="3"/>
  <c r="R3" i="3" s="1"/>
  <c r="X3" i="3" s="1"/>
  <c r="Z3" i="3" s="1"/>
  <c r="K3" i="3"/>
  <c r="P11" i="3"/>
  <c r="R11" i="3" s="1"/>
  <c r="X11" i="3" s="1"/>
  <c r="Z11" i="3" s="1"/>
  <c r="J11" i="3"/>
  <c r="K11" i="3"/>
  <c r="P8" i="3"/>
  <c r="R8" i="3" s="1"/>
  <c r="X8" i="3" s="1"/>
  <c r="Z8" i="3" s="1"/>
  <c r="J8" i="3"/>
  <c r="K8" i="3"/>
  <c r="P7" i="3"/>
  <c r="R7" i="3" s="1"/>
  <c r="X7" i="3" s="1"/>
  <c r="Z7" i="3" s="1"/>
  <c r="K7" i="3"/>
  <c r="J7" i="3"/>
  <c r="J5" i="3"/>
  <c r="L3" i="4"/>
  <c r="K3" i="4"/>
  <c r="Q3" i="4"/>
  <c r="S3" i="4" s="1"/>
  <c r="X3" i="4" s="1"/>
  <c r="Z3" i="4" s="1"/>
  <c r="K8" i="4"/>
  <c r="Q8" i="4"/>
  <c r="S8" i="4" s="1"/>
  <c r="X8" i="4" s="1"/>
  <c r="Z8" i="4" s="1"/>
  <c r="L8" i="4"/>
  <c r="Q5" i="4"/>
  <c r="S5" i="4" s="1"/>
  <c r="X5" i="4" s="1"/>
  <c r="Z5" i="4" s="1"/>
  <c r="L5" i="4"/>
  <c r="K5" i="4"/>
  <c r="L10" i="4"/>
  <c r="K10" i="4"/>
  <c r="Q10" i="4"/>
  <c r="S10" i="4" s="1"/>
  <c r="X10" i="4" s="1"/>
  <c r="Z10" i="4" s="1"/>
  <c r="L12" i="4"/>
  <c r="K12" i="4"/>
  <c r="Q12" i="4"/>
  <c r="S12" i="4" s="1"/>
  <c r="X12" i="4" s="1"/>
  <c r="Z12" i="4" s="1"/>
  <c r="Q2" i="4"/>
  <c r="S2" i="4" s="1"/>
  <c r="X2" i="4" s="1"/>
  <c r="Z2" i="4" s="1"/>
  <c r="K2" i="4"/>
  <c r="L2" i="4"/>
  <c r="L4" i="4"/>
  <c r="K4" i="4"/>
  <c r="Q4" i="4"/>
  <c r="S4" i="4" s="1"/>
  <c r="X4" i="4" s="1"/>
  <c r="Z4" i="4" s="1"/>
  <c r="Q9" i="4"/>
  <c r="S9" i="4" s="1"/>
  <c r="X9" i="4" s="1"/>
  <c r="Z9" i="4" s="1"/>
  <c r="L9" i="4"/>
  <c r="K9" i="4"/>
  <c r="Q11" i="4"/>
  <c r="S11" i="4" s="1"/>
  <c r="X11" i="4" s="1"/>
  <c r="Z11" i="4" s="1"/>
  <c r="K11" i="4"/>
  <c r="L11" i="4"/>
  <c r="Q6" i="4"/>
  <c r="S6" i="4" s="1"/>
  <c r="X6" i="4" s="1"/>
  <c r="Z6" i="4" s="1"/>
  <c r="L6" i="4"/>
  <c r="K7" i="4"/>
  <c r="L7" i="4"/>
  <c r="K6" i="4"/>
  <c r="Q31" i="4"/>
  <c r="S31" i="4" s="1"/>
  <c r="X31" i="4" s="1"/>
  <c r="Z31" i="4" s="1"/>
  <c r="L31" i="4"/>
  <c r="K31" i="4"/>
  <c r="Q25" i="4"/>
  <c r="S25" i="4" s="1"/>
  <c r="X25" i="4" s="1"/>
  <c r="Z25" i="4" s="1"/>
  <c r="L25" i="4"/>
  <c r="K25" i="4"/>
  <c r="Q27" i="4"/>
  <c r="S27" i="4" s="1"/>
  <c r="X27" i="4" s="1"/>
  <c r="Z27" i="4" s="1"/>
  <c r="K27" i="4"/>
  <c r="L27" i="4"/>
  <c r="Q24" i="4"/>
  <c r="S24" i="4" s="1"/>
  <c r="X24" i="4" s="1"/>
  <c r="Z24" i="4" s="1"/>
  <c r="K24" i="4"/>
  <c r="L24" i="4"/>
  <c r="K26" i="4"/>
  <c r="Q26" i="4"/>
  <c r="S26" i="4" s="1"/>
  <c r="X26" i="4" s="1"/>
  <c r="Z26" i="4" s="1"/>
  <c r="L26" i="4"/>
  <c r="Q29" i="4"/>
  <c r="S29" i="4" s="1"/>
  <c r="X29" i="4" s="1"/>
  <c r="Z29" i="4" s="1"/>
  <c r="L29" i="4"/>
  <c r="K29" i="4"/>
  <c r="L32" i="4"/>
  <c r="K32" i="4"/>
  <c r="Q32" i="4"/>
  <c r="S32" i="4" s="1"/>
  <c r="X32" i="4" s="1"/>
  <c r="Z32" i="4" s="1"/>
  <c r="K33" i="4"/>
  <c r="L33" i="4"/>
  <c r="Q28" i="4"/>
  <c r="S28" i="4" s="1"/>
  <c r="X28" i="4" s="1"/>
  <c r="Z28" i="4" s="1"/>
  <c r="Q33" i="4"/>
  <c r="S33" i="4" s="1"/>
  <c r="X33" i="4" s="1"/>
  <c r="Z33" i="4" s="1"/>
  <c r="K34" i="4"/>
  <c r="L23" i="4"/>
  <c r="K23" i="4"/>
  <c r="Q23" i="4"/>
  <c r="S23" i="4" s="1"/>
  <c r="X23" i="4" s="1"/>
  <c r="Z23" i="4" s="1"/>
  <c r="K19" i="4"/>
  <c r="Q19" i="4"/>
  <c r="S19" i="4" s="1"/>
  <c r="X19" i="4" s="1"/>
  <c r="Z19" i="4" s="1"/>
  <c r="L19" i="4"/>
  <c r="Q18" i="4"/>
  <c r="S18" i="4" s="1"/>
  <c r="X18" i="4" s="1"/>
  <c r="Z18" i="4" s="1"/>
  <c r="L18" i="4"/>
  <c r="K18" i="4"/>
  <c r="L14" i="4"/>
  <c r="K14" i="4"/>
  <c r="Q14" i="4"/>
  <c r="S14" i="4" s="1"/>
  <c r="X14" i="4" s="1"/>
  <c r="Z14" i="4" s="1"/>
  <c r="L21" i="4"/>
  <c r="Q21" i="4"/>
  <c r="S21" i="4" s="1"/>
  <c r="X21" i="4" s="1"/>
  <c r="Z21" i="4" s="1"/>
  <c r="K21" i="4"/>
  <c r="L13" i="4"/>
  <c r="K13" i="4"/>
  <c r="Q13" i="4"/>
  <c r="S13" i="4" s="1"/>
  <c r="X13" i="4" s="1"/>
  <c r="Z13" i="4" s="1"/>
  <c r="L15" i="4"/>
  <c r="K15" i="4"/>
  <c r="Q15" i="4"/>
  <c r="S15" i="4" s="1"/>
  <c r="X15" i="4" s="1"/>
  <c r="Z15" i="4" s="1"/>
  <c r="Q22" i="4"/>
  <c r="S22" i="4" s="1"/>
  <c r="X22" i="4" s="1"/>
  <c r="Z22" i="4" s="1"/>
  <c r="L22" i="4"/>
  <c r="K22" i="4"/>
  <c r="Q16" i="4"/>
  <c r="S16" i="4" s="1"/>
  <c r="X16" i="4" s="1"/>
  <c r="Z16" i="4" s="1"/>
  <c r="L16" i="4"/>
  <c r="K16" i="4"/>
  <c r="Q20" i="4"/>
  <c r="S20" i="4" s="1"/>
  <c r="X20" i="4" s="1"/>
  <c r="Z20" i="4" s="1"/>
  <c r="K20" i="4"/>
  <c r="L20" i="4"/>
  <c r="K17" i="4"/>
  <c r="L17" i="4"/>
  <c r="Q17" i="4"/>
  <c r="S17" i="4" s="1"/>
  <c r="X17" i="4" s="1"/>
  <c r="Z17" i="4" s="1"/>
  <c r="K32" i="1"/>
  <c r="P32" i="1"/>
  <c r="R32" i="1" s="1"/>
  <c r="P22" i="1"/>
  <c r="R22" i="1" s="1"/>
  <c r="W22" i="1" s="1"/>
  <c r="Y22" i="1" s="1"/>
  <c r="P25" i="1"/>
  <c r="R25" i="1" s="1"/>
  <c r="W25" i="1" s="1"/>
  <c r="Y25" i="1" s="1"/>
  <c r="K25" i="1"/>
  <c r="P21" i="1"/>
  <c r="R21" i="1" s="1"/>
  <c r="W21" i="1" s="1"/>
  <c r="Y21" i="1" s="1"/>
  <c r="K21" i="1"/>
  <c r="P5" i="1"/>
  <c r="R5" i="1" s="1"/>
  <c r="W5" i="1" s="1"/>
  <c r="Y5" i="1" s="1"/>
  <c r="K5" i="1"/>
  <c r="K24" i="1"/>
  <c r="P24" i="1"/>
  <c r="R24" i="1" s="1"/>
  <c r="P19" i="1"/>
  <c r="R19" i="1" s="1"/>
  <c r="W19" i="1" s="1"/>
  <c r="Y19" i="1" s="1"/>
  <c r="K19" i="1"/>
  <c r="K34" i="1"/>
  <c r="P34" i="1"/>
  <c r="R34" i="1" s="1"/>
  <c r="W34" i="1" s="1"/>
  <c r="Y34" i="1" s="1"/>
  <c r="K9" i="1"/>
  <c r="P9" i="1"/>
  <c r="R9" i="1" s="1"/>
  <c r="W9" i="1" s="1"/>
  <c r="Y9" i="1" s="1"/>
  <c r="K8" i="1"/>
  <c r="P8" i="1"/>
  <c r="R8" i="1" s="1"/>
  <c r="P20" i="1"/>
  <c r="R20" i="1" s="1"/>
  <c r="W20" i="1" s="1"/>
  <c r="Y20" i="1" s="1"/>
  <c r="K20" i="1"/>
  <c r="K29" i="1"/>
  <c r="P29" i="1"/>
  <c r="R29" i="1" s="1"/>
  <c r="P13" i="1"/>
  <c r="R13" i="1" s="1"/>
  <c r="W13" i="1" s="1"/>
  <c r="Y13" i="1" s="1"/>
  <c r="K13" i="1"/>
  <c r="K12" i="1"/>
  <c r="P12" i="1"/>
  <c r="R12" i="1" s="1"/>
  <c r="W12" i="1" s="1"/>
  <c r="Y12" i="1" s="1"/>
  <c r="P27" i="1"/>
  <c r="R27" i="1" s="1"/>
  <c r="W27" i="1" s="1"/>
  <c r="Y27" i="1" s="1"/>
  <c r="K27" i="1"/>
  <c r="P11" i="1"/>
  <c r="R11" i="1" s="1"/>
  <c r="W11" i="1" s="1"/>
  <c r="Y11" i="1" s="1"/>
  <c r="K11" i="1"/>
  <c r="P7" i="1"/>
  <c r="R7" i="1" s="1"/>
  <c r="W7" i="1" s="1"/>
  <c r="Y7" i="1" s="1"/>
  <c r="K22" i="1"/>
  <c r="J25" i="1"/>
  <c r="P6" i="1"/>
  <c r="R6" i="1" s="1"/>
  <c r="W6" i="1" s="1"/>
  <c r="Y6" i="1" s="1"/>
  <c r="J15" i="1"/>
  <c r="P14" i="1"/>
  <c r="R14" i="1" s="1"/>
  <c r="K23" i="1"/>
  <c r="K10" i="1"/>
  <c r="K31" i="1"/>
  <c r="P33" i="1"/>
  <c r="R33" i="1" s="1"/>
  <c r="K28" i="1"/>
  <c r="P30" i="1"/>
  <c r="R30" i="1" s="1"/>
  <c r="W30" i="1" s="1"/>
  <c r="Y30" i="1" s="1"/>
  <c r="P16" i="1"/>
  <c r="R16" i="1" s="1"/>
  <c r="P10" i="1"/>
  <c r="R10" i="1" s="1"/>
  <c r="W10" i="1" s="1"/>
  <c r="Y10" i="1" s="1"/>
  <c r="K26" i="1"/>
  <c r="K17" i="1"/>
  <c r="K18" i="1"/>
  <c r="J12" i="1"/>
  <c r="J11" i="1"/>
  <c r="J27" i="1"/>
  <c r="J28" i="1"/>
  <c r="J8" i="1"/>
  <c r="J33" i="1"/>
  <c r="J20" i="1"/>
  <c r="J18" i="1"/>
  <c r="J23" i="1"/>
  <c r="AF18" i="1"/>
  <c r="AG18" i="1" s="1"/>
  <c r="J26" i="1"/>
  <c r="J16" i="1"/>
  <c r="R28" i="1"/>
  <c r="AF23" i="1"/>
  <c r="AG23" i="1" s="1"/>
  <c r="J17" i="1"/>
  <c r="AF26" i="1"/>
  <c r="AG26" i="1" s="1"/>
  <c r="J34" i="1"/>
  <c r="J31" i="1"/>
  <c r="J29" i="1"/>
  <c r="J13" i="1"/>
  <c r="J19" i="1"/>
  <c r="J24" i="1"/>
  <c r="R26" i="1"/>
  <c r="W26" i="1" s="1"/>
  <c r="Y26" i="1" s="1"/>
  <c r="J32" i="1"/>
  <c r="R18" i="1"/>
  <c r="R17" i="1"/>
  <c r="W17" i="1" s="1"/>
  <c r="Y17" i="1" s="1"/>
  <c r="AF28" i="1"/>
  <c r="AG28" i="1" s="1"/>
  <c r="AF31" i="1"/>
  <c r="AG31" i="1" s="1"/>
  <c r="R23" i="1"/>
  <c r="W23" i="1" s="1"/>
  <c r="Y23" i="1" s="1"/>
  <c r="R31" i="1"/>
  <c r="W31" i="1" s="1"/>
  <c r="Y31" i="1" s="1"/>
  <c r="J5" i="1"/>
  <c r="J9" i="1"/>
  <c r="AF17" i="1"/>
  <c r="AG17" i="1" s="1"/>
  <c r="J6" i="1"/>
  <c r="J7" i="1"/>
  <c r="J10" i="1"/>
  <c r="J22" i="1"/>
  <c r="J30" i="1"/>
  <c r="J21" i="1"/>
  <c r="T37" i="9" l="1"/>
  <c r="U37" i="9" s="1"/>
  <c r="V37" i="9" s="1"/>
  <c r="T28" i="9"/>
  <c r="U28" i="9" s="1"/>
  <c r="V28" i="9" s="1"/>
  <c r="T26" i="9"/>
  <c r="U26" i="9" s="1"/>
  <c r="V26" i="9" s="1"/>
  <c r="T39" i="9"/>
  <c r="U39" i="9" s="1"/>
  <c r="V39" i="9" s="1"/>
  <c r="T9" i="9"/>
  <c r="U9" i="9" s="1"/>
  <c r="V9" i="9" s="1"/>
  <c r="T11" i="9"/>
  <c r="U11" i="9" s="1"/>
  <c r="V11" i="9" s="1"/>
  <c r="T46" i="9"/>
  <c r="U46" i="9" s="1"/>
  <c r="V46" i="9" s="1"/>
  <c r="T4" i="9"/>
  <c r="U4" i="9" s="1"/>
  <c r="V4" i="9" s="1"/>
  <c r="W41" i="9"/>
  <c r="Y41" i="9" s="1"/>
  <c r="T41" i="9"/>
  <c r="U41" i="9" s="1"/>
  <c r="V41" i="9" s="1"/>
  <c r="W17" i="9"/>
  <c r="Y17" i="9" s="1"/>
  <c r="T17" i="9"/>
  <c r="U17" i="9" s="1"/>
  <c r="V17" i="9" s="1"/>
  <c r="T6" i="9"/>
  <c r="U6" i="9" s="1"/>
  <c r="V6" i="9" s="1"/>
  <c r="T29" i="9"/>
  <c r="U29" i="9" s="1"/>
  <c r="V29" i="9" s="1"/>
  <c r="W8" i="9"/>
  <c r="Y8" i="9" s="1"/>
  <c r="T8" i="9"/>
  <c r="U8" i="9" s="1"/>
  <c r="V8" i="9" s="1"/>
  <c r="T18" i="9"/>
  <c r="U18" i="9" s="1"/>
  <c r="V18" i="9" s="1"/>
  <c r="W50" i="9"/>
  <c r="Y50" i="9" s="1"/>
  <c r="T50" i="9"/>
  <c r="U50" i="9" s="1"/>
  <c r="V50" i="9" s="1"/>
  <c r="W15" i="9"/>
  <c r="Y15" i="9" s="1"/>
  <c r="T15" i="9"/>
  <c r="U15" i="9" s="1"/>
  <c r="V15" i="9" s="1"/>
  <c r="W55" i="9"/>
  <c r="Y55" i="9" s="1"/>
  <c r="T55" i="9"/>
  <c r="U55" i="9" s="1"/>
  <c r="V55" i="9" s="1"/>
  <c r="W20" i="9"/>
  <c r="Y20" i="9" s="1"/>
  <c r="T20" i="9"/>
  <c r="U20" i="9" s="1"/>
  <c r="V20" i="9" s="1"/>
  <c r="T22" i="9"/>
  <c r="U22" i="9" s="1"/>
  <c r="V22" i="9" s="1"/>
  <c r="T51" i="9"/>
  <c r="U51" i="9" s="1"/>
  <c r="V51" i="9" s="1"/>
  <c r="W35" i="9"/>
  <c r="Y35" i="9" s="1"/>
  <c r="T35" i="9"/>
  <c r="U35" i="9" s="1"/>
  <c r="V35" i="9" s="1"/>
  <c r="T33" i="9"/>
  <c r="U33" i="9" s="1"/>
  <c r="V33" i="9" s="1"/>
  <c r="T40" i="9"/>
  <c r="U40" i="9" s="1"/>
  <c r="V40" i="9" s="1"/>
  <c r="T53" i="9"/>
  <c r="U53" i="9" s="1"/>
  <c r="V53" i="9" s="1"/>
  <c r="T27" i="9"/>
  <c r="U27" i="9" s="1"/>
  <c r="V27" i="9" s="1"/>
  <c r="W23" i="9"/>
  <c r="Y23" i="9" s="1"/>
  <c r="T23" i="9"/>
  <c r="U23" i="9" s="1"/>
  <c r="V23" i="9" s="1"/>
  <c r="T48" i="9"/>
  <c r="U48" i="9" s="1"/>
  <c r="V48" i="9" s="1"/>
  <c r="W42" i="9"/>
  <c r="Y42" i="9" s="1"/>
  <c r="T42" i="9"/>
  <c r="U42" i="9" s="1"/>
  <c r="V42" i="9" s="1"/>
  <c r="T44" i="9"/>
  <c r="U44" i="9" s="1"/>
  <c r="V44" i="9" s="1"/>
  <c r="W10" i="9"/>
  <c r="Y10" i="9" s="1"/>
  <c r="T10" i="9"/>
  <c r="U10" i="9" s="1"/>
  <c r="V10" i="9" s="1"/>
  <c r="T13" i="9"/>
  <c r="U13" i="9" s="1"/>
  <c r="V13" i="9" s="1"/>
  <c r="W19" i="9"/>
  <c r="Y19" i="9" s="1"/>
  <c r="T19" i="9"/>
  <c r="U19" i="9" s="1"/>
  <c r="V19" i="9" s="1"/>
  <c r="T24" i="9"/>
  <c r="U24" i="9" s="1"/>
  <c r="V24" i="9" s="1"/>
  <c r="W16" i="9"/>
  <c r="Y16" i="9" s="1"/>
  <c r="T16" i="9"/>
  <c r="U16" i="9" s="1"/>
  <c r="V16" i="9" s="1"/>
  <c r="T49" i="9"/>
  <c r="U49" i="9" s="1"/>
  <c r="V49" i="9" s="1"/>
  <c r="T36" i="6"/>
  <c r="U36" i="6" s="1"/>
  <c r="V36" i="6" s="1"/>
  <c r="AF20" i="6"/>
  <c r="AG20" i="6" s="1"/>
  <c r="AF36" i="6"/>
  <c r="AG36" i="6" s="1"/>
  <c r="T12" i="6"/>
  <c r="U12" i="6" s="1"/>
  <c r="V12" i="6" s="1"/>
  <c r="AF30" i="6"/>
  <c r="AG30" i="6" s="1"/>
  <c r="AF6" i="6"/>
  <c r="AG6" i="6" s="1"/>
  <c r="T16" i="6"/>
  <c r="U16" i="6" s="1"/>
  <c r="V16" i="6" s="1"/>
  <c r="AF35" i="6"/>
  <c r="AG35" i="6" s="1"/>
  <c r="AF10" i="6"/>
  <c r="AG10" i="6" s="1"/>
  <c r="AF16" i="6"/>
  <c r="AG16" i="6" s="1"/>
  <c r="T27" i="6"/>
  <c r="U27" i="6" s="1"/>
  <c r="V27" i="6" s="1"/>
  <c r="AF44" i="6"/>
  <c r="AG44" i="6" s="1"/>
  <c r="T22" i="6"/>
  <c r="U22" i="6" s="1"/>
  <c r="V22" i="6" s="1"/>
  <c r="AF33" i="6"/>
  <c r="AG33" i="6" s="1"/>
  <c r="T25" i="6"/>
  <c r="U25" i="6" s="1"/>
  <c r="V25" i="6" s="1"/>
  <c r="AF45" i="6"/>
  <c r="AG45" i="6" s="1"/>
  <c r="AF39" i="6"/>
  <c r="AG39" i="6" s="1"/>
  <c r="AF7" i="6"/>
  <c r="AG7" i="6" s="1"/>
  <c r="AF27" i="6"/>
  <c r="AG27" i="6" s="1"/>
  <c r="AF17" i="6"/>
  <c r="AG17" i="6" s="1"/>
  <c r="AF9" i="6"/>
  <c r="AG9" i="6" s="1"/>
  <c r="AF40" i="6"/>
  <c r="AG40" i="6" s="1"/>
  <c r="AF8" i="6"/>
  <c r="AG8" i="6" s="1"/>
  <c r="AF37" i="6"/>
  <c r="AG37" i="6" s="1"/>
  <c r="AF2" i="6"/>
  <c r="AG2" i="6" s="1"/>
  <c r="AF11" i="6"/>
  <c r="AG11" i="6" s="1"/>
  <c r="AF15" i="6"/>
  <c r="AG15" i="6" s="1"/>
  <c r="T41" i="6"/>
  <c r="U41" i="6" s="1"/>
  <c r="V41" i="6" s="1"/>
  <c r="AF38" i="6"/>
  <c r="AG38" i="6" s="1"/>
  <c r="AF32" i="6"/>
  <c r="AG32" i="6" s="1"/>
  <c r="AF22" i="6"/>
  <c r="AG22" i="6" s="1"/>
  <c r="AF14" i="6"/>
  <c r="AG14" i="6" s="1"/>
  <c r="T11" i="6"/>
  <c r="U11" i="6" s="1"/>
  <c r="V11" i="6" s="1"/>
  <c r="AF3" i="6"/>
  <c r="AG3" i="6" s="1"/>
  <c r="AF26" i="6"/>
  <c r="AG26" i="6" s="1"/>
  <c r="AF28" i="6"/>
  <c r="AG28" i="6" s="1"/>
  <c r="AF41" i="6"/>
  <c r="AG41" i="6" s="1"/>
  <c r="AF42" i="6"/>
  <c r="AG42" i="6" s="1"/>
  <c r="T38" i="6"/>
  <c r="U38" i="6" s="1"/>
  <c r="V38" i="6" s="1"/>
  <c r="AF34" i="6"/>
  <c r="AG34" i="6" s="1"/>
  <c r="AF43" i="6"/>
  <c r="AG43" i="6" s="1"/>
  <c r="AF25" i="6"/>
  <c r="AG25" i="6" s="1"/>
  <c r="AF23" i="6"/>
  <c r="AG23" i="6" s="1"/>
  <c r="AF13" i="6"/>
  <c r="AG13" i="6" s="1"/>
  <c r="AG10" i="3"/>
  <c r="AH10" i="3" s="1"/>
  <c r="AG14" i="3"/>
  <c r="AH14" i="3" s="1"/>
  <c r="AG5" i="3"/>
  <c r="AH5" i="3" s="1"/>
  <c r="AG23" i="3"/>
  <c r="AH23" i="3" s="1"/>
  <c r="AG13" i="3"/>
  <c r="AH13" i="3" s="1"/>
  <c r="AG9" i="3"/>
  <c r="AH9" i="3" s="1"/>
  <c r="AG6" i="3"/>
  <c r="AH6" i="3" s="1"/>
  <c r="AG7" i="3"/>
  <c r="AH7" i="3" s="1"/>
  <c r="AG15" i="3"/>
  <c r="AH15" i="3" s="1"/>
  <c r="AG8" i="3"/>
  <c r="AH8" i="3" s="1"/>
  <c r="AG12" i="3"/>
  <c r="AH12" i="3" s="1"/>
  <c r="AG18" i="3"/>
  <c r="AH18" i="3" s="1"/>
  <c r="AG16" i="3"/>
  <c r="AH16" i="3" s="1"/>
  <c r="AG21" i="3"/>
  <c r="AH21" i="3" s="1"/>
  <c r="AG11" i="3"/>
  <c r="AH11" i="3" s="1"/>
  <c r="AG19" i="3"/>
  <c r="AH19" i="3" s="1"/>
  <c r="AG4" i="3"/>
  <c r="AH4" i="3" s="1"/>
  <c r="AG2" i="3"/>
  <c r="AH2" i="3" s="1"/>
  <c r="AG20" i="3"/>
  <c r="AH20" i="3" s="1"/>
  <c r="AG3" i="3"/>
  <c r="AH3" i="3" s="1"/>
  <c r="AG22" i="3"/>
  <c r="AH22" i="3" s="1"/>
  <c r="AG34" i="4"/>
  <c r="AH34" i="4" s="1"/>
  <c r="AG10" i="4"/>
  <c r="AH10" i="4" s="1"/>
  <c r="AG7" i="4"/>
  <c r="AH7" i="4" s="1"/>
  <c r="AG20" i="4"/>
  <c r="AH20" i="4" s="1"/>
  <c r="AG22" i="4"/>
  <c r="AH22" i="4" s="1"/>
  <c r="AG28" i="4"/>
  <c r="AH28" i="4" s="1"/>
  <c r="AG9" i="4"/>
  <c r="AH9" i="4" s="1"/>
  <c r="AG32" i="4"/>
  <c r="AH32" i="4" s="1"/>
  <c r="AG26" i="4"/>
  <c r="AH26" i="4" s="1"/>
  <c r="AG27" i="4"/>
  <c r="AH27" i="4" s="1"/>
  <c r="AG16" i="4"/>
  <c r="AH16" i="4" s="1"/>
  <c r="AG15" i="4"/>
  <c r="AH15" i="4" s="1"/>
  <c r="AG14" i="4"/>
  <c r="AH14" i="4" s="1"/>
  <c r="AG2" i="4"/>
  <c r="AH2" i="4" s="1"/>
  <c r="AG18" i="4"/>
  <c r="AH18" i="4" s="1"/>
  <c r="AG30" i="4"/>
  <c r="AH30" i="4" s="1"/>
  <c r="AG8" i="4"/>
  <c r="AH8" i="4" s="1"/>
  <c r="U34" i="4"/>
  <c r="V34" i="4" s="1"/>
  <c r="W34" i="4" s="1"/>
  <c r="AG19" i="4"/>
  <c r="AH19" i="4" s="1"/>
  <c r="AG12" i="4"/>
  <c r="AH12" i="4" s="1"/>
  <c r="AG25" i="4"/>
  <c r="AH25" i="4" s="1"/>
  <c r="AG29" i="4"/>
  <c r="AH29" i="4" s="1"/>
  <c r="AG24" i="4"/>
  <c r="AH24" i="4" s="1"/>
  <c r="AG6" i="4"/>
  <c r="AH6" i="4" s="1"/>
  <c r="AG13" i="4"/>
  <c r="AH13" i="4" s="1"/>
  <c r="AG23" i="4"/>
  <c r="AH23" i="4" s="1"/>
  <c r="AG31" i="4"/>
  <c r="AH31" i="4" s="1"/>
  <c r="AG4" i="4"/>
  <c r="AH4" i="4" s="1"/>
  <c r="AG33" i="4"/>
  <c r="AH33" i="4" s="1"/>
  <c r="AG21" i="4"/>
  <c r="AH21" i="4" s="1"/>
  <c r="AG17" i="4"/>
  <c r="AH17" i="4" s="1"/>
  <c r="AG3" i="4"/>
  <c r="AH3" i="4" s="1"/>
  <c r="AG5" i="4"/>
  <c r="AH5" i="4" s="1"/>
  <c r="AG11" i="4"/>
  <c r="AH11" i="4" s="1"/>
  <c r="T13" i="3"/>
  <c r="U13" i="3" s="1"/>
  <c r="W13" i="3" s="1"/>
  <c r="T11" i="3"/>
  <c r="U11" i="3" s="1"/>
  <c r="W11" i="3" s="1"/>
  <c r="T5" i="3"/>
  <c r="U5" i="3" s="1"/>
  <c r="W5" i="3" s="1"/>
  <c r="T16" i="3"/>
  <c r="U16" i="3" s="1"/>
  <c r="W16" i="3" s="1"/>
  <c r="T30" i="6"/>
  <c r="U30" i="6" s="1"/>
  <c r="V30" i="6" s="1"/>
  <c r="T32" i="6"/>
  <c r="U32" i="6" s="1"/>
  <c r="V32" i="6" s="1"/>
  <c r="U10" i="4"/>
  <c r="V10" i="4" s="1"/>
  <c r="W10" i="4" s="1"/>
  <c r="U19" i="4"/>
  <c r="V19" i="4" s="1"/>
  <c r="W19" i="4" s="1"/>
  <c r="U20" i="4"/>
  <c r="V20" i="4" s="1"/>
  <c r="W20" i="4" s="1"/>
  <c r="T10" i="3"/>
  <c r="U10" i="3" s="1"/>
  <c r="W10" i="3" s="1"/>
  <c r="T17" i="3"/>
  <c r="U17" i="3" s="1"/>
  <c r="W17" i="3" s="1"/>
  <c r="U17" i="4"/>
  <c r="V17" i="4" s="1"/>
  <c r="W17" i="4" s="1"/>
  <c r="U29" i="4"/>
  <c r="V29" i="4" s="1"/>
  <c r="W29" i="4" s="1"/>
  <c r="U18" i="4"/>
  <c r="V18" i="4" s="1"/>
  <c r="W18" i="4" s="1"/>
  <c r="U5" i="4"/>
  <c r="V5" i="4" s="1"/>
  <c r="W5" i="4" s="1"/>
  <c r="U16" i="4"/>
  <c r="V16" i="4" s="1"/>
  <c r="W16" i="4" s="1"/>
  <c r="U21" i="4"/>
  <c r="V21" i="4" s="1"/>
  <c r="W21" i="4" s="1"/>
  <c r="U7" i="4"/>
  <c r="V7" i="4" s="1"/>
  <c r="W7" i="4" s="1"/>
  <c r="U6" i="4"/>
  <c r="V6" i="4" s="1"/>
  <c r="W6" i="4" s="1"/>
  <c r="U13" i="4"/>
  <c r="V13" i="4" s="1"/>
  <c r="W13" i="4" s="1"/>
  <c r="U26" i="4"/>
  <c r="V26" i="4" s="1"/>
  <c r="W26" i="4" s="1"/>
  <c r="U30" i="4"/>
  <c r="V30" i="4" s="1"/>
  <c r="W30" i="4" s="1"/>
  <c r="U24" i="4"/>
  <c r="V24" i="4" s="1"/>
  <c r="W24" i="4" s="1"/>
  <c r="U4" i="4"/>
  <c r="V4" i="4" s="1"/>
  <c r="W4" i="4" s="1"/>
  <c r="U28" i="4"/>
  <c r="V28" i="4" s="1"/>
  <c r="W28" i="4" s="1"/>
  <c r="U25" i="4"/>
  <c r="V25" i="4" s="1"/>
  <c r="W25" i="4" s="1"/>
  <c r="U11" i="4"/>
  <c r="V11" i="4" s="1"/>
  <c r="W11" i="4" s="1"/>
  <c r="T35" i="6"/>
  <c r="U35" i="6" s="1"/>
  <c r="V35" i="6" s="1"/>
  <c r="T3" i="6"/>
  <c r="U3" i="6" s="1"/>
  <c r="V3" i="6" s="1"/>
  <c r="T37" i="6"/>
  <c r="U37" i="6" s="1"/>
  <c r="V37" i="6" s="1"/>
  <c r="T45" i="6"/>
  <c r="U45" i="6" s="1"/>
  <c r="V45" i="6" s="1"/>
  <c r="T15" i="6"/>
  <c r="U15" i="6" s="1"/>
  <c r="V15" i="6" s="1"/>
  <c r="T28" i="6"/>
  <c r="U28" i="6" s="1"/>
  <c r="V28" i="6" s="1"/>
  <c r="T5" i="6"/>
  <c r="U5" i="6" s="1"/>
  <c r="V5" i="6" s="1"/>
  <c r="T20" i="6"/>
  <c r="U20" i="6" s="1"/>
  <c r="V20" i="6" s="1"/>
  <c r="T31" i="6"/>
  <c r="U31" i="6" s="1"/>
  <c r="V31" i="6" s="1"/>
  <c r="T40" i="6"/>
  <c r="U40" i="6" s="1"/>
  <c r="V40" i="6" s="1"/>
  <c r="T39" i="6"/>
  <c r="U39" i="6" s="1"/>
  <c r="V39" i="6" s="1"/>
  <c r="T44" i="6"/>
  <c r="U44" i="6" s="1"/>
  <c r="V44" i="6" s="1"/>
  <c r="T42" i="6"/>
  <c r="U42" i="6" s="1"/>
  <c r="V42" i="6" s="1"/>
  <c r="T24" i="6"/>
  <c r="U24" i="6" s="1"/>
  <c r="V24" i="6" s="1"/>
  <c r="T33" i="6"/>
  <c r="U33" i="6" s="1"/>
  <c r="V33" i="6" s="1"/>
  <c r="T29" i="6"/>
  <c r="U29" i="6" s="1"/>
  <c r="V29" i="6" s="1"/>
  <c r="T26" i="6"/>
  <c r="U26" i="6" s="1"/>
  <c r="V26" i="6" s="1"/>
  <c r="T14" i="6"/>
  <c r="U14" i="6" s="1"/>
  <c r="V14" i="6" s="1"/>
  <c r="T13" i="6"/>
  <c r="U13" i="6" s="1"/>
  <c r="V13" i="6" s="1"/>
  <c r="T17" i="6"/>
  <c r="U17" i="6" s="1"/>
  <c r="V17" i="6" s="1"/>
  <c r="T19" i="6"/>
  <c r="U19" i="6" s="1"/>
  <c r="V19" i="6" s="1"/>
  <c r="T2" i="3"/>
  <c r="U2" i="3" s="1"/>
  <c r="W2" i="3" s="1"/>
  <c r="T9" i="3"/>
  <c r="U9" i="3" s="1"/>
  <c r="W9" i="3" s="1"/>
  <c r="T14" i="3"/>
  <c r="U14" i="3" s="1"/>
  <c r="W14" i="3" s="1"/>
  <c r="T22" i="3"/>
  <c r="U22" i="3" s="1"/>
  <c r="W22" i="3" s="1"/>
  <c r="T3" i="3"/>
  <c r="U3" i="3" s="1"/>
  <c r="W3" i="3" s="1"/>
  <c r="T7" i="3"/>
  <c r="U7" i="3" s="1"/>
  <c r="W7" i="3" s="1"/>
  <c r="T23" i="3"/>
  <c r="U23" i="3" s="1"/>
  <c r="W23" i="3" s="1"/>
  <c r="T8" i="6"/>
  <c r="U8" i="6" s="1"/>
  <c r="V8" i="6" s="1"/>
  <c r="T9" i="6"/>
  <c r="U9" i="6" s="1"/>
  <c r="V9" i="6" s="1"/>
  <c r="T6" i="6"/>
  <c r="U6" i="6" s="1"/>
  <c r="V6" i="6" s="1"/>
  <c r="T2" i="6"/>
  <c r="U2" i="6" s="1"/>
  <c r="V2" i="6" s="1"/>
  <c r="T7" i="6"/>
  <c r="U7" i="6" s="1"/>
  <c r="V7" i="6" s="1"/>
  <c r="T4" i="6"/>
  <c r="U4" i="6" s="1"/>
  <c r="V4" i="6" s="1"/>
  <c r="T15" i="3"/>
  <c r="U15" i="3" s="1"/>
  <c r="W15" i="3" s="1"/>
  <c r="T19" i="3"/>
  <c r="U19" i="3" s="1"/>
  <c r="W19" i="3" s="1"/>
  <c r="T21" i="3"/>
  <c r="U21" i="3" s="1"/>
  <c r="W21" i="3" s="1"/>
  <c r="T20" i="3"/>
  <c r="U20" i="3" s="1"/>
  <c r="W20" i="3" s="1"/>
  <c r="T18" i="3"/>
  <c r="U18" i="3" s="1"/>
  <c r="W18" i="3" s="1"/>
  <c r="T4" i="3"/>
  <c r="U4" i="3" s="1"/>
  <c r="W4" i="3" s="1"/>
  <c r="T12" i="3"/>
  <c r="U12" i="3" s="1"/>
  <c r="W12" i="3" s="1"/>
  <c r="T6" i="3"/>
  <c r="U6" i="3" s="1"/>
  <c r="W6" i="3" s="1"/>
  <c r="T8" i="3"/>
  <c r="U8" i="3" s="1"/>
  <c r="W8" i="3" s="1"/>
  <c r="U2" i="4"/>
  <c r="V2" i="4" s="1"/>
  <c r="W2" i="4" s="1"/>
  <c r="U9" i="4"/>
  <c r="V9" i="4" s="1"/>
  <c r="W9" i="4" s="1"/>
  <c r="U3" i="4"/>
  <c r="V3" i="4" s="1"/>
  <c r="W3" i="4" s="1"/>
  <c r="U8" i="4"/>
  <c r="V8" i="4" s="1"/>
  <c r="W8" i="4" s="1"/>
  <c r="U12" i="4"/>
  <c r="V12" i="4" s="1"/>
  <c r="W12" i="4" s="1"/>
  <c r="U32" i="4"/>
  <c r="V32" i="4" s="1"/>
  <c r="W32" i="4" s="1"/>
  <c r="U27" i="4"/>
  <c r="V27" i="4" s="1"/>
  <c r="W27" i="4" s="1"/>
  <c r="U31" i="4"/>
  <c r="V31" i="4" s="1"/>
  <c r="W31" i="4" s="1"/>
  <c r="U33" i="4"/>
  <c r="V33" i="4" s="1"/>
  <c r="W33" i="4" s="1"/>
  <c r="U22" i="4"/>
  <c r="V22" i="4" s="1"/>
  <c r="W22" i="4" s="1"/>
  <c r="U15" i="4"/>
  <c r="V15" i="4" s="1"/>
  <c r="W15" i="4" s="1"/>
  <c r="U14" i="4"/>
  <c r="V14" i="4" s="1"/>
  <c r="W14" i="4" s="1"/>
  <c r="U23" i="4"/>
  <c r="V23" i="4" s="1"/>
  <c r="W23" i="4" s="1"/>
  <c r="AF21" i="1"/>
  <c r="AG21" i="1" s="1"/>
  <c r="AF11" i="1"/>
  <c r="AG11" i="1" s="1"/>
  <c r="AF7" i="1"/>
  <c r="AG7" i="1" s="1"/>
  <c r="AF9" i="1"/>
  <c r="AG9" i="1" s="1"/>
  <c r="T29" i="1"/>
  <c r="U29" i="1" s="1"/>
  <c r="V29" i="1" s="1"/>
  <c r="K14" i="1"/>
  <c r="AF12" i="1"/>
  <c r="AG12" i="1" s="1"/>
  <c r="AF13" i="1"/>
  <c r="AG13" i="1" s="1"/>
  <c r="T28" i="1"/>
  <c r="U28" i="1" s="1"/>
  <c r="V28" i="1" s="1"/>
  <c r="AF32" i="1"/>
  <c r="AG32" i="1" s="1"/>
  <c r="AF29" i="1"/>
  <c r="AG29" i="1" s="1"/>
  <c r="AF33" i="1"/>
  <c r="AG33" i="1" s="1"/>
  <c r="AF19" i="1"/>
  <c r="AG19" i="1" s="1"/>
  <c r="AF24" i="1"/>
  <c r="AG24" i="1" s="1"/>
  <c r="AF6" i="1"/>
  <c r="AG6" i="1" s="1"/>
  <c r="T14" i="1"/>
  <c r="U14" i="1" s="1"/>
  <c r="V14" i="1" s="1"/>
  <c r="T8" i="1"/>
  <c r="U8" i="1" s="1"/>
  <c r="V8" i="1" s="1"/>
  <c r="J14" i="1"/>
  <c r="T16" i="1"/>
  <c r="U16" i="1" s="1"/>
  <c r="V16" i="1" s="1"/>
  <c r="AF14" i="1"/>
  <c r="AG14" i="1" s="1"/>
  <c r="AF27" i="1"/>
  <c r="AG27" i="1" s="1"/>
  <c r="AF20" i="1"/>
  <c r="AG20" i="1" s="1"/>
  <c r="AF16" i="1"/>
  <c r="AG16" i="1" s="1"/>
  <c r="AF34" i="1"/>
  <c r="AG34" i="1" s="1"/>
  <c r="T24" i="1"/>
  <c r="U24" i="1" s="1"/>
  <c r="V24" i="1" s="1"/>
  <c r="AF8" i="1"/>
  <c r="AG8" i="1" s="1"/>
  <c r="AF5" i="1"/>
  <c r="AG5" i="1" s="1"/>
  <c r="AF25" i="1"/>
  <c r="AG25" i="1" s="1"/>
  <c r="T12" i="1"/>
  <c r="U12" i="1" s="1"/>
  <c r="V12" i="1" s="1"/>
  <c r="AF22" i="1"/>
  <c r="AG22" i="1" s="1"/>
  <c r="T18" i="1"/>
  <c r="U18" i="1" s="1"/>
  <c r="V18" i="1" s="1"/>
  <c r="K15" i="1"/>
  <c r="P15" i="1"/>
  <c r="R15" i="1" s="1"/>
  <c r="W15" i="1" s="1"/>
  <c r="Y15" i="1" s="1"/>
  <c r="T32" i="1"/>
  <c r="U32" i="1" s="1"/>
  <c r="V32" i="1" s="1"/>
  <c r="AF10" i="1"/>
  <c r="AG10" i="1" s="1"/>
  <c r="AF30" i="1"/>
  <c r="AG30" i="1" s="1"/>
  <c r="T33" i="1"/>
  <c r="U33" i="1" s="1"/>
  <c r="V33" i="1" s="1"/>
  <c r="W32" i="1"/>
  <c r="Y32" i="1" s="1"/>
  <c r="T27" i="1"/>
  <c r="U27" i="1" s="1"/>
  <c r="V27" i="1" s="1"/>
  <c r="T11" i="1"/>
  <c r="U11" i="1" s="1"/>
  <c r="V11" i="1" s="1"/>
  <c r="W8" i="1"/>
  <c r="Y8" i="1" s="1"/>
  <c r="T34" i="1"/>
  <c r="U34" i="1" s="1"/>
  <c r="V34" i="1" s="1"/>
  <c r="T30" i="1"/>
  <c r="U30" i="1" s="1"/>
  <c r="V30" i="1" s="1"/>
  <c r="W28" i="1"/>
  <c r="Y28" i="1" s="1"/>
  <c r="W29" i="1"/>
  <c r="Y29" i="1" s="1"/>
  <c r="T13" i="1"/>
  <c r="U13" i="1" s="1"/>
  <c r="V13" i="1" s="1"/>
  <c r="T22" i="1"/>
  <c r="U22" i="1" s="1"/>
  <c r="V22" i="1" s="1"/>
  <c r="W18" i="1"/>
  <c r="Y18" i="1" s="1"/>
  <c r="W24" i="1"/>
  <c r="Y24" i="1" s="1"/>
  <c r="T25" i="1"/>
  <c r="U25" i="1" s="1"/>
  <c r="V25" i="1" s="1"/>
  <c r="W33" i="1"/>
  <c r="Y33" i="1" s="1"/>
  <c r="W14" i="1"/>
  <c r="Y14" i="1" s="1"/>
  <c r="T23" i="1"/>
  <c r="U23" i="1" s="1"/>
  <c r="V23" i="1" s="1"/>
  <c r="T26" i="1"/>
  <c r="U26" i="1" s="1"/>
  <c r="V26" i="1" s="1"/>
  <c r="T7" i="1"/>
  <c r="U7" i="1" s="1"/>
  <c r="V7" i="1" s="1"/>
  <c r="T10" i="1"/>
  <c r="U10" i="1" s="1"/>
  <c r="V10" i="1" s="1"/>
  <c r="T20" i="1"/>
  <c r="U20" i="1" s="1"/>
  <c r="V20" i="1" s="1"/>
  <c r="T19" i="1"/>
  <c r="U19" i="1" s="1"/>
  <c r="V19" i="1" s="1"/>
  <c r="T5" i="1"/>
  <c r="U5" i="1" s="1"/>
  <c r="V5" i="1" s="1"/>
  <c r="T17" i="1"/>
  <c r="U17" i="1" s="1"/>
  <c r="V17" i="1" s="1"/>
  <c r="T21" i="1"/>
  <c r="U21" i="1" s="1"/>
  <c r="V21" i="1" s="1"/>
  <c r="T6" i="1"/>
  <c r="U6" i="1" s="1"/>
  <c r="V6" i="1" s="1"/>
  <c r="W16" i="1"/>
  <c r="Y16" i="1" s="1"/>
  <c r="T9" i="1"/>
  <c r="U9" i="1" s="1"/>
  <c r="V9" i="1" s="1"/>
  <c r="T31" i="1"/>
  <c r="U31" i="1" s="1"/>
  <c r="V31" i="1" s="1"/>
  <c r="T15" i="1" l="1"/>
  <c r="U15" i="1" s="1"/>
  <c r="V15" i="1" s="1"/>
  <c r="AF15" i="1"/>
  <c r="AG15" i="1" s="1"/>
  <c r="AB4" i="1"/>
  <c r="Q4" i="1"/>
  <c r="O4" i="1"/>
  <c r="AB3" i="1"/>
  <c r="Q3" i="1"/>
  <c r="O3" i="1"/>
  <c r="P3" i="1"/>
  <c r="O2" i="1"/>
  <c r="V2" i="1" s="1"/>
  <c r="J2" i="1" l="1"/>
  <c r="AF3" i="1"/>
  <c r="AG3" i="1" s="1"/>
  <c r="R3" i="1"/>
  <c r="W3" i="1" s="1"/>
  <c r="Y3" i="1" s="1"/>
  <c r="P4" i="1"/>
  <c r="R4" i="1" s="1"/>
  <c r="W4" i="1" s="1"/>
  <c r="Y4" i="1" s="1"/>
  <c r="J4" i="1"/>
  <c r="T4" i="1"/>
  <c r="U4" i="1" s="1"/>
  <c r="V4" i="1" s="1"/>
  <c r="J3" i="1"/>
  <c r="AF4" i="1"/>
  <c r="AG4" i="1" s="1"/>
  <c r="T3" i="1" l="1"/>
  <c r="U3" i="1" s="1"/>
  <c r="V3" i="1" s="1"/>
  <c r="AG2" i="1" l="1"/>
</calcChain>
</file>

<file path=xl/sharedStrings.xml><?xml version="1.0" encoding="utf-8"?>
<sst xmlns="http://schemas.openxmlformats.org/spreadsheetml/2006/main" count="269" uniqueCount="38">
  <si>
    <t>序号</t>
    <phoneticPr fontId="1" type="noConversion"/>
  </si>
  <si>
    <t>基层fys</t>
    <phoneticPr fontId="1" type="noConversion"/>
  </si>
  <si>
    <t>复层fyc</t>
    <phoneticPr fontId="1" type="noConversion"/>
  </si>
  <si>
    <t>复合比beta</t>
    <phoneticPr fontId="1" type="noConversion"/>
  </si>
  <si>
    <t>宽度B</t>
    <phoneticPr fontId="1" type="noConversion"/>
  </si>
  <si>
    <t>厚度t</t>
    <phoneticPr fontId="1" type="noConversion"/>
  </si>
  <si>
    <t>宽厚比c/t</t>
    <phoneticPr fontId="1" type="noConversion"/>
  </si>
  <si>
    <t>复合钢屈服强度fy</t>
    <phoneticPr fontId="1" type="noConversion"/>
  </si>
  <si>
    <t>弹性模量E</t>
    <phoneticPr fontId="1" type="noConversion"/>
  </si>
  <si>
    <t>面积Av</t>
    <phoneticPr fontId="1" type="noConversion"/>
  </si>
  <si>
    <t>面积Ac</t>
    <phoneticPr fontId="1" type="noConversion"/>
  </si>
  <si>
    <t>总面积A</t>
    <phoneticPr fontId="1" type="noConversion"/>
  </si>
  <si>
    <t>Af0.2/kN</t>
    <phoneticPr fontId="1" type="noConversion"/>
  </si>
  <si>
    <t>Nu/kN</t>
    <phoneticPr fontId="1" type="noConversion"/>
  </si>
  <si>
    <t>Nu/Ny</t>
    <phoneticPr fontId="1" type="noConversion"/>
  </si>
  <si>
    <t>fus</t>
    <phoneticPr fontId="1" type="noConversion"/>
  </si>
  <si>
    <t>fuc</t>
    <phoneticPr fontId="1" type="noConversion"/>
  </si>
  <si>
    <t>fys,corner</t>
    <phoneticPr fontId="1" type="noConversion"/>
  </si>
  <si>
    <t>fyc,corner</t>
    <phoneticPr fontId="1" type="noConversion"/>
  </si>
  <si>
    <t>f0.2,corner</t>
    <phoneticPr fontId="1" type="noConversion"/>
  </si>
  <si>
    <t>Afya/kN</t>
    <phoneticPr fontId="1" type="noConversion"/>
  </si>
  <si>
    <t>Nu/Nya</t>
    <phoneticPr fontId="1" type="noConversion"/>
  </si>
  <si>
    <t>转角外半径nt,n=</t>
    <phoneticPr fontId="1" type="noConversion"/>
  </si>
  <si>
    <t>回转半径i</t>
    <phoneticPr fontId="1" type="noConversion"/>
  </si>
  <si>
    <t>整体缺陷</t>
    <phoneticPr fontId="1" type="noConversion"/>
  </si>
  <si>
    <t>局部缺陷</t>
    <phoneticPr fontId="1" type="noConversion"/>
  </si>
  <si>
    <t>λp</t>
    <phoneticPr fontId="1" type="noConversion"/>
  </si>
  <si>
    <t>λc</t>
    <phoneticPr fontId="1" type="noConversion"/>
  </si>
  <si>
    <t>惯性矩I</t>
    <phoneticPr fontId="1" type="noConversion"/>
  </si>
  <si>
    <t>长细比λ</t>
    <phoneticPr fontId="1" type="noConversion"/>
  </si>
  <si>
    <t>长度L</t>
    <phoneticPr fontId="1" type="noConversion"/>
  </si>
  <si>
    <t>宽度bf</t>
    <phoneticPr fontId="1" type="noConversion"/>
  </si>
  <si>
    <t>编号</t>
    <phoneticPr fontId="1" type="noConversion"/>
  </si>
  <si>
    <t>材料组合</t>
    <phoneticPr fontId="1" type="noConversion"/>
  </si>
  <si>
    <t>有</t>
    <phoneticPr fontId="1" type="noConversion"/>
  </si>
  <si>
    <t>无</t>
    <phoneticPr fontId="1" type="noConversion"/>
  </si>
  <si>
    <t>换方向</t>
    <phoneticPr fontId="1" type="noConversion"/>
  </si>
  <si>
    <t>类别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</si>
</sst>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2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Fill="1"/>
    <xf numFmtId="0" fontId="0" fillId="5" borderId="0" xfId="0" applyFill="1"/>
    <xf numFmtId="0" fontId="2" fillId="5" borderId="0" xfId="0" applyFont="1" applyFill="1"/>
    <xf numFmtId="0" fontId="0" fillId="6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4"/>
  <sheetViews>
    <sheetView zoomScale="70" zoomScaleNormal="70" workbookViewId="0">
      <selection activeCell="M34" sqref="M34"/>
    </sheetView>
  </sheetViews>
  <sheetFormatPr defaultRowHeight="13.8" x14ac:dyDescent="0.25"/>
  <cols>
    <col min="4" max="6" width="11.44140625" customWidth="1"/>
    <col min="9" max="9" width="10.33203125" customWidth="1"/>
    <col min="12" max="12" width="12" customWidth="1"/>
    <col min="13" max="13" width="11.109375" customWidth="1"/>
    <col min="14" max="14" width="11" customWidth="1"/>
    <col min="19" max="19" width="12.77734375" bestFit="1" customWidth="1"/>
    <col min="20" max="20" width="9.6640625" customWidth="1"/>
  </cols>
  <sheetData>
    <row r="1" spans="1:33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30</v>
      </c>
      <c r="F1" s="1" t="s">
        <v>31</v>
      </c>
      <c r="G1" t="s">
        <v>4</v>
      </c>
      <c r="H1" s="4" t="s">
        <v>5</v>
      </c>
      <c r="I1" s="4" t="s">
        <v>6</v>
      </c>
      <c r="J1" s="6" t="s">
        <v>26</v>
      </c>
      <c r="K1" s="1" t="s">
        <v>25</v>
      </c>
      <c r="L1" s="1" t="s">
        <v>24</v>
      </c>
      <c r="M1" s="1" t="s">
        <v>22</v>
      </c>
      <c r="N1" t="s">
        <v>7</v>
      </c>
      <c r="O1" t="s">
        <v>8</v>
      </c>
      <c r="P1" t="s">
        <v>9</v>
      </c>
      <c r="Q1" t="s">
        <v>10</v>
      </c>
      <c r="R1" t="s">
        <v>11</v>
      </c>
      <c r="S1" t="s">
        <v>28</v>
      </c>
      <c r="T1" t="s">
        <v>23</v>
      </c>
      <c r="U1" t="s">
        <v>29</v>
      </c>
      <c r="V1" s="5" t="s">
        <v>27</v>
      </c>
      <c r="W1" s="2" t="s">
        <v>12</v>
      </c>
      <c r="X1" s="2" t="s">
        <v>13</v>
      </c>
      <c r="Y1" s="3" t="s">
        <v>14</v>
      </c>
      <c r="Z1" s="3" t="s">
        <v>32</v>
      </c>
      <c r="AA1" t="s">
        <v>15</v>
      </c>
      <c r="AB1" t="s">
        <v>16</v>
      </c>
      <c r="AC1" t="s">
        <v>17</v>
      </c>
      <c r="AD1" t="s">
        <v>18</v>
      </c>
      <c r="AE1" t="s">
        <v>19</v>
      </c>
      <c r="AF1" s="2" t="s">
        <v>20</v>
      </c>
      <c r="AG1" s="3" t="s">
        <v>21</v>
      </c>
    </row>
    <row r="2" spans="1:33" x14ac:dyDescent="0.25">
      <c r="A2">
        <v>1</v>
      </c>
      <c r="B2">
        <v>355</v>
      </c>
      <c r="C2">
        <v>205</v>
      </c>
      <c r="D2">
        <v>0.2</v>
      </c>
      <c r="E2">
        <v>1000</v>
      </c>
      <c r="F2">
        <v>110</v>
      </c>
      <c r="G2">
        <f t="shared" ref="G2:G34" si="0">F2+2*H2*M2</f>
        <v>150</v>
      </c>
      <c r="H2">
        <v>8</v>
      </c>
      <c r="I2">
        <f>F2/H2</f>
        <v>13.75</v>
      </c>
      <c r="J2">
        <f>SQRT(12*(1-0.3^2)*I2^2*N2/(4*PI()^2*O2))</f>
        <v>0.28906822465146947</v>
      </c>
      <c r="K2">
        <f>H2*I2/200</f>
        <v>0.55000000000000004</v>
      </c>
      <c r="L2">
        <f>E2/500</f>
        <v>2</v>
      </c>
      <c r="M2">
        <v>2.5</v>
      </c>
      <c r="N2">
        <f>D2*C2+(1-D2)*B2</f>
        <v>325</v>
      </c>
      <c r="O2">
        <f>193000*D2+(1-D2)*206000</f>
        <v>203400</v>
      </c>
      <c r="P2">
        <f>H2*I2*H2*4</f>
        <v>3520</v>
      </c>
      <c r="Q2">
        <f>PI()*(M2*H2)^2-PI()*((M2-1)*H2)^2</f>
        <v>804.24771931898704</v>
      </c>
      <c r="R2">
        <f>P2+Q2</f>
        <v>4324.247719318987</v>
      </c>
      <c r="S2">
        <f>1/12*H2*(H2*I2)^3*2+(1/12*(H2*I2)*H2^3+(H2*I2)*H2*(G2/2-H2/2)^2)*2+PI()/8*((M2*H2)^4-((M2-1)*H2)^4)*2+1/2*PI()*((M2*H2)^2-((M2-1)*H2)^2)*(-1*((4*((M2*H2)^3-((M2-1)*H2)^3))/(3*PI()*((M2*H2)^2-((M2-1)*H2)^2)))^2+1*((4*((M2*H2)^3-((M2-1)*H2)^3))/(3*PI()*((M2*H2)^2-((M2-1)*H2)^2))+H2*I2/2)^2)*2</f>
        <v>14118333.707433984</v>
      </c>
      <c r="T2">
        <f>SQRT(S2/R2)</f>
        <v>57.139500414724267</v>
      </c>
      <c r="U2">
        <f>E2/T2</f>
        <v>17.50102805838166</v>
      </c>
      <c r="V2">
        <f>U2/PI()*SQRT(N2/O2)</f>
        <v>0.22267932418531081</v>
      </c>
      <c r="W2">
        <f>R2*N2/1000</f>
        <v>1405.3805087786709</v>
      </c>
      <c r="X2">
        <v>1454.9</v>
      </c>
      <c r="Y2">
        <f>X2/W2</f>
        <v>1.0352356467960151</v>
      </c>
      <c r="Z2" t="str">
        <f>"LC-G"&amp;A2</f>
        <v>LC-G1</v>
      </c>
      <c r="AA2">
        <f>IF(B2=235,360,IF(B2=355,490,560))</f>
        <v>490</v>
      </c>
      <c r="AB2">
        <f>C2/(0.2+185*C2/193000)</f>
        <v>517.02058150931066</v>
      </c>
      <c r="AC2">
        <f>B2*(2.769*(AA2/B2)-0.581*(AA2/B2)^2-1.182)/((M2-1)^(0.314*(AA2/B2)-0.32))</f>
        <v>519.7880493042129</v>
      </c>
      <c r="AD2">
        <f>1.673*C2/(M2-1)^0.126</f>
        <v>325.88344850615891</v>
      </c>
      <c r="AE2">
        <f>AC2*(1-((2*M2*H2-D2*H2)/(2*M2*H2-H2)*D2))+AD2*((2*M2*H2-D2*H2)/(2*M2*H2-H2)*D2)</f>
        <v>473.25094511267991</v>
      </c>
      <c r="AF2">
        <f>(AE2*Q2+N2*P2)/1000</f>
        <v>1524.610993272428</v>
      </c>
      <c r="AG2">
        <f t="shared" ref="AG2:AG33" si="1">X2/AF2</f>
        <v>0.95427620974790417</v>
      </c>
    </row>
    <row r="3" spans="1:33" x14ac:dyDescent="0.25">
      <c r="A3">
        <v>2</v>
      </c>
      <c r="B3">
        <v>355</v>
      </c>
      <c r="C3">
        <v>205</v>
      </c>
      <c r="D3">
        <v>0.2</v>
      </c>
      <c r="E3">
        <v>2000</v>
      </c>
      <c r="F3">
        <v>110</v>
      </c>
      <c r="G3">
        <f t="shared" si="0"/>
        <v>150</v>
      </c>
      <c r="H3">
        <v>8</v>
      </c>
      <c r="I3">
        <f t="shared" ref="I3:I34" si="2">F3/H3</f>
        <v>13.75</v>
      </c>
      <c r="J3">
        <f>SQRT(12*(1-0.3^2)*I3^2*N3/(4*PI()^2*O3))</f>
        <v>0.28906822465146947</v>
      </c>
      <c r="K3">
        <f t="shared" ref="K3:K10" si="3">H3*I3/200</f>
        <v>0.55000000000000004</v>
      </c>
      <c r="L3">
        <f t="shared" ref="L3:L12" si="4">E3/500</f>
        <v>4</v>
      </c>
      <c r="M3">
        <v>2.5</v>
      </c>
      <c r="N3">
        <f t="shared" ref="N3:N34" si="5">D3*C3+(1-D3)*B3</f>
        <v>325</v>
      </c>
      <c r="O3">
        <f>193000*D3+(1-D3)*206000</f>
        <v>203400</v>
      </c>
      <c r="P3">
        <f>H3*I3*H3*4</f>
        <v>3520</v>
      </c>
      <c r="Q3">
        <f>PI()*(M3*H3)^2-PI()*((M3-1)*H3)^2</f>
        <v>804.24771931898704</v>
      </c>
      <c r="R3">
        <f t="shared" ref="R3:R4" si="6">P3+Q3</f>
        <v>4324.247719318987</v>
      </c>
      <c r="S3">
        <f t="shared" ref="S3:S34" si="7">1/12*H3*(H3*I3)^3*2+(1/12*(H3*I3)*H3^3+(H3*I3)*H3*(G3/2-H3/2)^2)*2+PI()/8*((M3*H3)^4-((M3-1)*H3)^4)*2+1/2*PI()*((M3*H3)^2-((M3-1)*H3)^2)*(-1*((4*((M3*H3)^3-((M3-1)*H3)^3))/(3*PI()*((M3*H3)^2-((M3-1)*H3)^2)))^2+1*((4*((M3*H3)^3-((M3-1)*H3)^3))/(3*PI()*((M3*H3)^2-((M3-1)*H3)^2))+H3*I3/2)^2)*2</f>
        <v>14118333.707433984</v>
      </c>
      <c r="T3">
        <f t="shared" ref="T3:T4" si="8">SQRT(S3/R3)</f>
        <v>57.139500414724267</v>
      </c>
      <c r="U3">
        <f t="shared" ref="U3:U4" si="9">E3/T3</f>
        <v>35.00205611676332</v>
      </c>
      <c r="V3">
        <f t="shared" ref="V3:V4" si="10">U3/PI()*SQRT(N3/O3)</f>
        <v>0.44535864837062161</v>
      </c>
      <c r="W3">
        <f t="shared" ref="W3:W4" si="11">R3*N3/1000</f>
        <v>1405.3805087786709</v>
      </c>
      <c r="X3">
        <v>1229.5</v>
      </c>
      <c r="Y3">
        <f t="shared" ref="Y3:Y34" si="12">X3/W3</f>
        <v>0.87485203638442532</v>
      </c>
      <c r="Z3" t="str">
        <f t="shared" ref="Z3:Z34" si="13">"LC-G"&amp;A3</f>
        <v>LC-G2</v>
      </c>
      <c r="AA3">
        <f t="shared" ref="AA3:AA34" si="14">IF(B3=235,360,IF(B3=355,490,560))</f>
        <v>490</v>
      </c>
      <c r="AB3">
        <f>C3/(0.2+185*C3/193000)</f>
        <v>517.02058150931066</v>
      </c>
      <c r="AC3">
        <f t="shared" ref="AC3:AC34" si="15">B3*(2.769*(AA3/B3)-0.581*(AA3/B3)^2-1.182)/((M3-1)^(0.314*(AA3/B3)-0.32))</f>
        <v>519.7880493042129</v>
      </c>
      <c r="AD3">
        <f t="shared" ref="AD3:AD34" si="16">1.673*C3/(M3-1)^0.126</f>
        <v>325.88344850615891</v>
      </c>
      <c r="AE3">
        <f t="shared" ref="AE3:AE34" si="17">AC3*(1-((2*M3*H3-D3*H3)/(2*M3*H3-H3)*D3))+AD3*((2*M3*H3-D3*H3)/(2*M3*H3-H3)*D3)</f>
        <v>473.25094511267991</v>
      </c>
      <c r="AF3">
        <f t="shared" ref="AF3:AF4" si="18">(AE3*Q3+N3*P3)/1000</f>
        <v>1524.610993272428</v>
      </c>
      <c r="AG3">
        <f t="shared" si="1"/>
        <v>0.80643521883637925</v>
      </c>
    </row>
    <row r="4" spans="1:33" x14ac:dyDescent="0.25">
      <c r="A4">
        <v>3</v>
      </c>
      <c r="B4">
        <v>355</v>
      </c>
      <c r="C4">
        <v>205</v>
      </c>
      <c r="D4">
        <v>0.2</v>
      </c>
      <c r="E4">
        <v>3000</v>
      </c>
      <c r="F4">
        <v>110</v>
      </c>
      <c r="G4">
        <f t="shared" si="0"/>
        <v>150</v>
      </c>
      <c r="H4">
        <v>8</v>
      </c>
      <c r="I4">
        <f t="shared" si="2"/>
        <v>13.75</v>
      </c>
      <c r="J4">
        <f>SQRT(12*(1-0.3^2)*I4^2*N4/(4*PI()^2*O4))</f>
        <v>0.28906822465146947</v>
      </c>
      <c r="K4">
        <f t="shared" si="3"/>
        <v>0.55000000000000004</v>
      </c>
      <c r="L4">
        <f t="shared" si="4"/>
        <v>6</v>
      </c>
      <c r="M4">
        <v>2.5</v>
      </c>
      <c r="N4">
        <f t="shared" si="5"/>
        <v>325</v>
      </c>
      <c r="O4">
        <f>193000*D4+(1-D4)*206000</f>
        <v>203400</v>
      </c>
      <c r="P4">
        <f>H4*I4*H4*4</f>
        <v>3520</v>
      </c>
      <c r="Q4">
        <f>PI()*(M4*H4)^2-PI()*((M4-1)*H4)^2</f>
        <v>804.24771931898704</v>
      </c>
      <c r="R4">
        <f t="shared" si="6"/>
        <v>4324.247719318987</v>
      </c>
      <c r="S4">
        <f t="shared" si="7"/>
        <v>14118333.707433984</v>
      </c>
      <c r="T4">
        <f t="shared" si="8"/>
        <v>57.139500414724267</v>
      </c>
      <c r="U4">
        <f t="shared" si="9"/>
        <v>52.503084175144984</v>
      </c>
      <c r="V4">
        <f t="shared" si="10"/>
        <v>0.66803797255593245</v>
      </c>
      <c r="W4">
        <f t="shared" si="11"/>
        <v>1405.3805087786709</v>
      </c>
      <c r="X4">
        <v>1049.9000000000001</v>
      </c>
      <c r="Y4">
        <f t="shared" si="12"/>
        <v>0.74705746482310553</v>
      </c>
      <c r="Z4" t="str">
        <f t="shared" si="13"/>
        <v>LC-G3</v>
      </c>
      <c r="AA4">
        <f t="shared" si="14"/>
        <v>490</v>
      </c>
      <c r="AB4">
        <f>C4/(0.2+185*C4/193000)</f>
        <v>517.02058150931066</v>
      </c>
      <c r="AC4">
        <f t="shared" si="15"/>
        <v>519.7880493042129</v>
      </c>
      <c r="AD4">
        <f t="shared" si="16"/>
        <v>325.88344850615891</v>
      </c>
      <c r="AE4">
        <f t="shared" si="17"/>
        <v>473.25094511267991</v>
      </c>
      <c r="AF4">
        <f t="shared" si="18"/>
        <v>1524.610993272428</v>
      </c>
      <c r="AG4">
        <f t="shared" si="1"/>
        <v>0.68863467771965403</v>
      </c>
    </row>
    <row r="5" spans="1:33" x14ac:dyDescent="0.25">
      <c r="A5">
        <v>4</v>
      </c>
      <c r="B5">
        <v>355</v>
      </c>
      <c r="C5">
        <v>205</v>
      </c>
      <c r="D5">
        <v>0.2</v>
      </c>
      <c r="E5">
        <v>4000</v>
      </c>
      <c r="F5">
        <v>110</v>
      </c>
      <c r="G5">
        <f t="shared" si="0"/>
        <v>150</v>
      </c>
      <c r="H5">
        <v>8</v>
      </c>
      <c r="I5">
        <f t="shared" si="2"/>
        <v>13.75</v>
      </c>
      <c r="J5">
        <f t="shared" ref="J5:J10" si="19">SQRT(12*(1-0.3^2)*I5^2*N5/(4*PI()^2*O5))</f>
        <v>0.28906822465146947</v>
      </c>
      <c r="K5">
        <f t="shared" si="3"/>
        <v>0.55000000000000004</v>
      </c>
      <c r="L5">
        <f t="shared" si="4"/>
        <v>8</v>
      </c>
      <c r="M5">
        <v>2.5</v>
      </c>
      <c r="N5">
        <f t="shared" si="5"/>
        <v>325</v>
      </c>
      <c r="O5">
        <f t="shared" ref="O5:O10" si="20">193000*D5+(1-D5)*206000</f>
        <v>203400</v>
      </c>
      <c r="P5">
        <f t="shared" ref="P5:P10" si="21">H5*I5*H5*4</f>
        <v>3520</v>
      </c>
      <c r="Q5">
        <f t="shared" ref="Q5:Q10" si="22">PI()*(M5*H5)^2-PI()*((M5-1)*H5)^2</f>
        <v>804.24771931898704</v>
      </c>
      <c r="R5">
        <f t="shared" ref="R5:R10" si="23">P5+Q5</f>
        <v>4324.247719318987</v>
      </c>
      <c r="S5">
        <f t="shared" si="7"/>
        <v>14118333.707433984</v>
      </c>
      <c r="T5">
        <f t="shared" ref="T5:T10" si="24">SQRT(S5/R5)</f>
        <v>57.139500414724267</v>
      </c>
      <c r="U5">
        <f t="shared" ref="U5:U10" si="25">E5/T5</f>
        <v>70.004112233526641</v>
      </c>
      <c r="V5">
        <f t="shared" ref="V5:V10" si="26">U5/PI()*SQRT(N5/O5)</f>
        <v>0.89071729674124323</v>
      </c>
      <c r="W5">
        <f t="shared" ref="W5:W10" si="27">R5*N5/1000</f>
        <v>1405.3805087786709</v>
      </c>
      <c r="X5">
        <v>873.4</v>
      </c>
      <c r="Y5">
        <f t="shared" si="12"/>
        <v>0.62146870156824485</v>
      </c>
      <c r="Z5" t="str">
        <f t="shared" si="13"/>
        <v>LC-G4</v>
      </c>
      <c r="AA5">
        <f t="shared" si="14"/>
        <v>490</v>
      </c>
      <c r="AB5">
        <f t="shared" ref="AB5:AB10" si="28">C5/(0.2+185*C5/193000)</f>
        <v>517.02058150931066</v>
      </c>
      <c r="AC5">
        <f t="shared" si="15"/>
        <v>519.7880493042129</v>
      </c>
      <c r="AD5">
        <f t="shared" si="16"/>
        <v>325.88344850615891</v>
      </c>
      <c r="AE5">
        <f t="shared" si="17"/>
        <v>473.25094511267991</v>
      </c>
      <c r="AF5">
        <f t="shared" ref="AF5:AF10" si="29">(AE5*Q5+N5*P5)/1000</f>
        <v>1524.610993272428</v>
      </c>
      <c r="AG5">
        <f t="shared" si="1"/>
        <v>0.57286744215672514</v>
      </c>
    </row>
    <row r="6" spans="1:33" x14ac:dyDescent="0.25">
      <c r="A6">
        <v>5</v>
      </c>
      <c r="B6">
        <v>355</v>
      </c>
      <c r="C6">
        <v>205</v>
      </c>
      <c r="D6">
        <v>0.2</v>
      </c>
      <c r="E6">
        <v>5000</v>
      </c>
      <c r="F6">
        <v>110</v>
      </c>
      <c r="G6">
        <f t="shared" si="0"/>
        <v>150</v>
      </c>
      <c r="H6">
        <v>8</v>
      </c>
      <c r="I6">
        <f t="shared" si="2"/>
        <v>13.75</v>
      </c>
      <c r="J6">
        <f t="shared" si="19"/>
        <v>0.28906822465146947</v>
      </c>
      <c r="K6">
        <f t="shared" si="3"/>
        <v>0.55000000000000004</v>
      </c>
      <c r="L6">
        <f t="shared" si="4"/>
        <v>10</v>
      </c>
      <c r="M6">
        <v>2.5</v>
      </c>
      <c r="N6">
        <f t="shared" si="5"/>
        <v>325</v>
      </c>
      <c r="O6">
        <f t="shared" si="20"/>
        <v>203400</v>
      </c>
      <c r="P6">
        <f t="shared" si="21"/>
        <v>3520</v>
      </c>
      <c r="Q6">
        <f t="shared" si="22"/>
        <v>804.24771931898704</v>
      </c>
      <c r="R6">
        <f t="shared" si="23"/>
        <v>4324.247719318987</v>
      </c>
      <c r="S6">
        <f t="shared" si="7"/>
        <v>14118333.707433984</v>
      </c>
      <c r="T6">
        <f t="shared" si="24"/>
        <v>57.139500414724267</v>
      </c>
      <c r="U6">
        <f t="shared" si="25"/>
        <v>87.505140291908305</v>
      </c>
      <c r="V6">
        <f t="shared" si="26"/>
        <v>1.113396620926554</v>
      </c>
      <c r="W6">
        <f t="shared" si="27"/>
        <v>1405.3805087786709</v>
      </c>
      <c r="X6">
        <v>704.9</v>
      </c>
      <c r="Y6">
        <f t="shared" si="12"/>
        <v>0.50157234684618257</v>
      </c>
      <c r="Z6" t="str">
        <f t="shared" si="13"/>
        <v>LC-G5</v>
      </c>
      <c r="AA6">
        <f t="shared" si="14"/>
        <v>490</v>
      </c>
      <c r="AB6">
        <f t="shared" si="28"/>
        <v>517.02058150931066</v>
      </c>
      <c r="AC6">
        <f t="shared" si="15"/>
        <v>519.7880493042129</v>
      </c>
      <c r="AD6">
        <f t="shared" si="16"/>
        <v>325.88344850615891</v>
      </c>
      <c r="AE6">
        <f t="shared" si="17"/>
        <v>473.25094511267991</v>
      </c>
      <c r="AF6">
        <f t="shared" si="29"/>
        <v>1524.610993272428</v>
      </c>
      <c r="AG6">
        <f t="shared" si="1"/>
        <v>0.46234744673262601</v>
      </c>
    </row>
    <row r="7" spans="1:33" x14ac:dyDescent="0.25">
      <c r="A7">
        <v>6</v>
      </c>
      <c r="B7">
        <v>355</v>
      </c>
      <c r="C7">
        <v>205</v>
      </c>
      <c r="D7">
        <v>0.2</v>
      </c>
      <c r="E7">
        <v>6000</v>
      </c>
      <c r="F7">
        <v>110</v>
      </c>
      <c r="G7">
        <f t="shared" si="0"/>
        <v>150</v>
      </c>
      <c r="H7">
        <v>8</v>
      </c>
      <c r="I7">
        <f t="shared" si="2"/>
        <v>13.75</v>
      </c>
      <c r="J7">
        <f t="shared" si="19"/>
        <v>0.28906822465146947</v>
      </c>
      <c r="K7">
        <f t="shared" si="3"/>
        <v>0.55000000000000004</v>
      </c>
      <c r="L7">
        <f t="shared" si="4"/>
        <v>12</v>
      </c>
      <c r="M7">
        <v>2.5</v>
      </c>
      <c r="N7">
        <f t="shared" si="5"/>
        <v>325</v>
      </c>
      <c r="O7">
        <f t="shared" si="20"/>
        <v>203400</v>
      </c>
      <c r="P7">
        <f t="shared" si="21"/>
        <v>3520</v>
      </c>
      <c r="Q7">
        <f t="shared" si="22"/>
        <v>804.24771931898704</v>
      </c>
      <c r="R7">
        <f t="shared" si="23"/>
        <v>4324.247719318987</v>
      </c>
      <c r="S7">
        <f t="shared" si="7"/>
        <v>14118333.707433984</v>
      </c>
      <c r="T7">
        <f t="shared" si="24"/>
        <v>57.139500414724267</v>
      </c>
      <c r="U7">
        <f t="shared" si="25"/>
        <v>105.00616835028997</v>
      </c>
      <c r="V7">
        <f t="shared" si="26"/>
        <v>1.3360759451118649</v>
      </c>
      <c r="W7">
        <f t="shared" si="27"/>
        <v>1405.3805087786709</v>
      </c>
      <c r="X7">
        <v>558.5</v>
      </c>
      <c r="Y7">
        <f t="shared" si="12"/>
        <v>0.39740127069597525</v>
      </c>
      <c r="Z7" t="str">
        <f t="shared" si="13"/>
        <v>LC-G6</v>
      </c>
      <c r="AA7">
        <f t="shared" si="14"/>
        <v>490</v>
      </c>
      <c r="AB7">
        <f t="shared" si="28"/>
        <v>517.02058150931066</v>
      </c>
      <c r="AC7">
        <f t="shared" si="15"/>
        <v>519.7880493042129</v>
      </c>
      <c r="AD7">
        <f t="shared" si="16"/>
        <v>325.88344850615891</v>
      </c>
      <c r="AE7">
        <f t="shared" si="17"/>
        <v>473.25094511267991</v>
      </c>
      <c r="AF7">
        <f t="shared" si="29"/>
        <v>1524.610993272428</v>
      </c>
      <c r="AG7">
        <f t="shared" si="1"/>
        <v>0.36632295219204375</v>
      </c>
    </row>
    <row r="8" spans="1:33" x14ac:dyDescent="0.25">
      <c r="A8">
        <v>7</v>
      </c>
      <c r="B8">
        <v>355</v>
      </c>
      <c r="C8">
        <v>205</v>
      </c>
      <c r="D8">
        <v>0.2</v>
      </c>
      <c r="E8">
        <v>7000</v>
      </c>
      <c r="F8">
        <v>110</v>
      </c>
      <c r="G8">
        <f t="shared" si="0"/>
        <v>150</v>
      </c>
      <c r="H8">
        <v>8</v>
      </c>
      <c r="I8">
        <f t="shared" si="2"/>
        <v>13.75</v>
      </c>
      <c r="J8">
        <f t="shared" si="19"/>
        <v>0.28906822465146947</v>
      </c>
      <c r="K8">
        <f t="shared" si="3"/>
        <v>0.55000000000000004</v>
      </c>
      <c r="L8">
        <f t="shared" si="4"/>
        <v>14</v>
      </c>
      <c r="M8">
        <v>2.5</v>
      </c>
      <c r="N8">
        <f t="shared" si="5"/>
        <v>325</v>
      </c>
      <c r="O8">
        <f t="shared" si="20"/>
        <v>203400</v>
      </c>
      <c r="P8">
        <f t="shared" si="21"/>
        <v>3520</v>
      </c>
      <c r="Q8">
        <f t="shared" si="22"/>
        <v>804.24771931898704</v>
      </c>
      <c r="R8">
        <f t="shared" si="23"/>
        <v>4324.247719318987</v>
      </c>
      <c r="S8">
        <f t="shared" si="7"/>
        <v>14118333.707433984</v>
      </c>
      <c r="T8">
        <f t="shared" si="24"/>
        <v>57.139500414724267</v>
      </c>
      <c r="U8">
        <f t="shared" si="25"/>
        <v>122.50719640867163</v>
      </c>
      <c r="V8">
        <f t="shared" si="26"/>
        <v>1.5587552692971756</v>
      </c>
      <c r="W8">
        <f t="shared" si="27"/>
        <v>1405.3805087786709</v>
      </c>
      <c r="X8">
        <v>443.1</v>
      </c>
      <c r="Y8">
        <f t="shared" si="12"/>
        <v>0.31528827761036105</v>
      </c>
      <c r="Z8" t="str">
        <f t="shared" si="13"/>
        <v>LC-G7</v>
      </c>
      <c r="AA8">
        <f t="shared" si="14"/>
        <v>490</v>
      </c>
      <c r="AB8">
        <f t="shared" si="28"/>
        <v>517.02058150931066</v>
      </c>
      <c r="AC8">
        <f t="shared" si="15"/>
        <v>519.7880493042129</v>
      </c>
      <c r="AD8">
        <f t="shared" si="16"/>
        <v>325.88344850615891</v>
      </c>
      <c r="AE8">
        <f t="shared" si="17"/>
        <v>473.25094511267991</v>
      </c>
      <c r="AF8">
        <f t="shared" si="29"/>
        <v>1524.610993272428</v>
      </c>
      <c r="AG8">
        <f t="shared" si="1"/>
        <v>0.29063151318942632</v>
      </c>
    </row>
    <row r="9" spans="1:33" x14ac:dyDescent="0.25">
      <c r="A9">
        <v>8</v>
      </c>
      <c r="B9">
        <v>355</v>
      </c>
      <c r="C9">
        <v>205</v>
      </c>
      <c r="D9">
        <v>0.2</v>
      </c>
      <c r="E9">
        <v>8000</v>
      </c>
      <c r="F9">
        <v>110</v>
      </c>
      <c r="G9">
        <f t="shared" si="0"/>
        <v>150</v>
      </c>
      <c r="H9">
        <v>8</v>
      </c>
      <c r="I9">
        <f t="shared" si="2"/>
        <v>13.75</v>
      </c>
      <c r="J9">
        <f t="shared" si="19"/>
        <v>0.28906822465146947</v>
      </c>
      <c r="K9">
        <f t="shared" si="3"/>
        <v>0.55000000000000004</v>
      </c>
      <c r="L9">
        <f t="shared" si="4"/>
        <v>16</v>
      </c>
      <c r="M9">
        <v>2.5</v>
      </c>
      <c r="N9">
        <f t="shared" si="5"/>
        <v>325</v>
      </c>
      <c r="O9">
        <f t="shared" si="20"/>
        <v>203400</v>
      </c>
      <c r="P9">
        <f t="shared" si="21"/>
        <v>3520</v>
      </c>
      <c r="Q9">
        <f t="shared" si="22"/>
        <v>804.24771931898704</v>
      </c>
      <c r="R9">
        <f t="shared" si="23"/>
        <v>4324.247719318987</v>
      </c>
      <c r="S9">
        <f t="shared" si="7"/>
        <v>14118333.707433984</v>
      </c>
      <c r="T9">
        <f t="shared" si="24"/>
        <v>57.139500414724267</v>
      </c>
      <c r="U9">
        <f t="shared" si="25"/>
        <v>140.00822446705328</v>
      </c>
      <c r="V9">
        <f t="shared" si="26"/>
        <v>1.7814345934824865</v>
      </c>
      <c r="W9">
        <f t="shared" si="27"/>
        <v>1405.3805087786709</v>
      </c>
      <c r="X9">
        <v>356.1</v>
      </c>
      <c r="Y9">
        <f t="shared" si="12"/>
        <v>0.25338333481618047</v>
      </c>
      <c r="Z9" t="str">
        <f t="shared" si="13"/>
        <v>LC-G8</v>
      </c>
      <c r="AA9">
        <f t="shared" si="14"/>
        <v>490</v>
      </c>
      <c r="AB9">
        <f t="shared" si="28"/>
        <v>517.02058150931066</v>
      </c>
      <c r="AC9">
        <f t="shared" si="15"/>
        <v>519.7880493042129</v>
      </c>
      <c r="AD9">
        <f t="shared" si="16"/>
        <v>325.88344850615891</v>
      </c>
      <c r="AE9">
        <f t="shared" si="17"/>
        <v>473.25094511267991</v>
      </c>
      <c r="AF9">
        <f t="shared" si="29"/>
        <v>1524.610993272428</v>
      </c>
      <c r="AG9">
        <f t="shared" si="1"/>
        <v>0.23356777667965406</v>
      </c>
    </row>
    <row r="10" spans="1:33" x14ac:dyDescent="0.25">
      <c r="A10">
        <v>9</v>
      </c>
      <c r="B10">
        <v>355</v>
      </c>
      <c r="C10">
        <v>205</v>
      </c>
      <c r="D10">
        <v>0.2</v>
      </c>
      <c r="E10">
        <v>9000</v>
      </c>
      <c r="F10">
        <v>110</v>
      </c>
      <c r="G10">
        <f t="shared" si="0"/>
        <v>150</v>
      </c>
      <c r="H10">
        <v>8</v>
      </c>
      <c r="I10">
        <f t="shared" si="2"/>
        <v>13.75</v>
      </c>
      <c r="J10">
        <f t="shared" si="19"/>
        <v>0.28906822465146947</v>
      </c>
      <c r="K10">
        <f t="shared" si="3"/>
        <v>0.55000000000000004</v>
      </c>
      <c r="L10">
        <f t="shared" si="4"/>
        <v>18</v>
      </c>
      <c r="M10">
        <v>2.5</v>
      </c>
      <c r="N10">
        <f t="shared" si="5"/>
        <v>325</v>
      </c>
      <c r="O10">
        <f t="shared" si="20"/>
        <v>203400</v>
      </c>
      <c r="P10">
        <f t="shared" si="21"/>
        <v>3520</v>
      </c>
      <c r="Q10">
        <f t="shared" si="22"/>
        <v>804.24771931898704</v>
      </c>
      <c r="R10">
        <f t="shared" si="23"/>
        <v>4324.247719318987</v>
      </c>
      <c r="S10">
        <f t="shared" si="7"/>
        <v>14118333.707433984</v>
      </c>
      <c r="T10">
        <f t="shared" si="24"/>
        <v>57.139500414724267</v>
      </c>
      <c r="U10">
        <f t="shared" si="25"/>
        <v>157.50925252543496</v>
      </c>
      <c r="V10">
        <f t="shared" si="26"/>
        <v>2.0041139176677971</v>
      </c>
      <c r="W10">
        <f t="shared" si="27"/>
        <v>1405.3805087786709</v>
      </c>
      <c r="X10">
        <v>290.7</v>
      </c>
      <c r="Y10">
        <f t="shared" si="12"/>
        <v>0.20684789506055506</v>
      </c>
      <c r="Z10" t="str">
        <f t="shared" si="13"/>
        <v>LC-G9</v>
      </c>
      <c r="AA10">
        <f t="shared" si="14"/>
        <v>490</v>
      </c>
      <c r="AB10">
        <f t="shared" si="28"/>
        <v>517.02058150931066</v>
      </c>
      <c r="AC10">
        <f t="shared" si="15"/>
        <v>519.7880493042129</v>
      </c>
      <c r="AD10">
        <f t="shared" si="16"/>
        <v>325.88344850615891</v>
      </c>
      <c r="AE10">
        <f t="shared" si="17"/>
        <v>473.25094511267991</v>
      </c>
      <c r="AF10">
        <f t="shared" si="29"/>
        <v>1524.610993272428</v>
      </c>
      <c r="AG10">
        <f t="shared" si="1"/>
        <v>0.1906715885447218</v>
      </c>
    </row>
    <row r="11" spans="1:33" x14ac:dyDescent="0.25">
      <c r="A11">
        <v>10</v>
      </c>
      <c r="B11">
        <v>355</v>
      </c>
      <c r="C11">
        <v>205</v>
      </c>
      <c r="D11">
        <v>0.2</v>
      </c>
      <c r="E11">
        <v>10000</v>
      </c>
      <c r="F11">
        <v>110</v>
      </c>
      <c r="G11">
        <f t="shared" si="0"/>
        <v>150</v>
      </c>
      <c r="H11">
        <v>8</v>
      </c>
      <c r="I11">
        <f t="shared" si="2"/>
        <v>13.75</v>
      </c>
      <c r="J11">
        <f t="shared" ref="J11:J12" si="30">SQRT(12*(1-0.3^2)*I11^2*N11/(4*PI()^2*O11))</f>
        <v>0.28906822465146947</v>
      </c>
      <c r="K11">
        <f t="shared" ref="K11:K12" si="31">H11*I11/200</f>
        <v>0.55000000000000004</v>
      </c>
      <c r="L11">
        <f t="shared" si="4"/>
        <v>20</v>
      </c>
      <c r="M11">
        <v>2.5</v>
      </c>
      <c r="N11">
        <f t="shared" ref="N11:N12" si="32">D11*C11+(1-D11)*B11</f>
        <v>325</v>
      </c>
      <c r="O11">
        <f t="shared" ref="O11:O12" si="33">193000*D11+(1-D11)*206000</f>
        <v>203400</v>
      </c>
      <c r="P11">
        <f t="shared" ref="P11:P12" si="34">H11*I11*H11*4</f>
        <v>3520</v>
      </c>
      <c r="Q11">
        <f t="shared" ref="Q11:Q12" si="35">PI()*(M11*H11)^2-PI()*((M11-1)*H11)^2</f>
        <v>804.24771931898704</v>
      </c>
      <c r="R11">
        <f t="shared" ref="R11:R12" si="36">P11+Q11</f>
        <v>4324.247719318987</v>
      </c>
      <c r="S11">
        <f t="shared" si="7"/>
        <v>14118333.707433984</v>
      </c>
      <c r="T11">
        <f t="shared" ref="T11:T12" si="37">SQRT(S11/R11)</f>
        <v>57.139500414724267</v>
      </c>
      <c r="U11">
        <f t="shared" ref="U11:U12" si="38">E11/T11</f>
        <v>175.01028058381661</v>
      </c>
      <c r="V11">
        <f t="shared" ref="V11:V12" si="39">U11/PI()*SQRT(N11/O11)</f>
        <v>2.226793241853108</v>
      </c>
      <c r="W11">
        <f t="shared" ref="W11:W12" si="40">R11*N11/1000</f>
        <v>1405.3805087786709</v>
      </c>
      <c r="X11">
        <v>241</v>
      </c>
      <c r="Y11">
        <f t="shared" si="12"/>
        <v>0.17148380705054617</v>
      </c>
      <c r="Z11" t="str">
        <f t="shared" si="13"/>
        <v>LC-G10</v>
      </c>
      <c r="AA11">
        <f t="shared" si="14"/>
        <v>490</v>
      </c>
      <c r="AB11">
        <f t="shared" ref="AB11:AB12" si="41">C11/(0.2+185*C11/193000)</f>
        <v>517.02058150931066</v>
      </c>
      <c r="AC11">
        <f t="shared" si="15"/>
        <v>519.7880493042129</v>
      </c>
      <c r="AD11">
        <f t="shared" si="16"/>
        <v>325.88344850615891</v>
      </c>
      <c r="AE11">
        <f t="shared" si="17"/>
        <v>473.25094511267991</v>
      </c>
      <c r="AF11">
        <f t="shared" ref="AF11:AF12" si="42">(AE11*Q11+N11*P11)/1000</f>
        <v>1524.610993272428</v>
      </c>
      <c r="AG11">
        <f t="shared" si="1"/>
        <v>0.15807310918224271</v>
      </c>
    </row>
    <row r="12" spans="1:33" x14ac:dyDescent="0.25">
      <c r="A12">
        <v>11</v>
      </c>
      <c r="B12">
        <v>355</v>
      </c>
      <c r="C12">
        <v>205</v>
      </c>
      <c r="D12">
        <v>0.2</v>
      </c>
      <c r="E12">
        <v>12000</v>
      </c>
      <c r="F12">
        <v>110</v>
      </c>
      <c r="G12">
        <f t="shared" si="0"/>
        <v>150</v>
      </c>
      <c r="H12">
        <v>8</v>
      </c>
      <c r="I12">
        <f t="shared" si="2"/>
        <v>13.75</v>
      </c>
      <c r="J12">
        <f t="shared" si="30"/>
        <v>0.28906822465146947</v>
      </c>
      <c r="K12">
        <f t="shared" si="31"/>
        <v>0.55000000000000004</v>
      </c>
      <c r="L12">
        <f t="shared" si="4"/>
        <v>24</v>
      </c>
      <c r="M12">
        <v>2.5</v>
      </c>
      <c r="N12">
        <f t="shared" si="32"/>
        <v>325</v>
      </c>
      <c r="O12">
        <f t="shared" si="33"/>
        <v>203400</v>
      </c>
      <c r="P12">
        <f t="shared" si="34"/>
        <v>3520</v>
      </c>
      <c r="Q12">
        <f t="shared" si="35"/>
        <v>804.24771931898704</v>
      </c>
      <c r="R12">
        <f t="shared" si="36"/>
        <v>4324.247719318987</v>
      </c>
      <c r="S12">
        <f t="shared" si="7"/>
        <v>14118333.707433984</v>
      </c>
      <c r="T12">
        <f t="shared" si="37"/>
        <v>57.139500414724267</v>
      </c>
      <c r="U12">
        <f t="shared" si="38"/>
        <v>210.01233670057994</v>
      </c>
      <c r="V12">
        <f t="shared" si="39"/>
        <v>2.6721518902237298</v>
      </c>
      <c r="W12">
        <f t="shared" si="40"/>
        <v>1405.3805087786709</v>
      </c>
      <c r="X12">
        <v>171.2</v>
      </c>
      <c r="Y12">
        <f t="shared" si="12"/>
        <v>0.12181754260188175</v>
      </c>
      <c r="Z12" t="str">
        <f t="shared" si="13"/>
        <v>LC-G11</v>
      </c>
      <c r="AA12">
        <f t="shared" si="14"/>
        <v>490</v>
      </c>
      <c r="AB12">
        <f t="shared" si="41"/>
        <v>517.02058150931066</v>
      </c>
      <c r="AC12">
        <f t="shared" si="15"/>
        <v>519.7880493042129</v>
      </c>
      <c r="AD12">
        <f t="shared" si="16"/>
        <v>325.88344850615891</v>
      </c>
      <c r="AE12">
        <f t="shared" si="17"/>
        <v>473.25094511267991</v>
      </c>
      <c r="AF12">
        <f t="shared" si="42"/>
        <v>1524.610993272428</v>
      </c>
      <c r="AG12">
        <f t="shared" si="1"/>
        <v>0.11229093897095414</v>
      </c>
    </row>
    <row r="13" spans="1:33" x14ac:dyDescent="0.25">
      <c r="A13">
        <v>12</v>
      </c>
      <c r="B13">
        <v>355</v>
      </c>
      <c r="C13">
        <v>205</v>
      </c>
      <c r="D13">
        <v>0.2</v>
      </c>
      <c r="E13">
        <v>1000</v>
      </c>
      <c r="F13">
        <v>110</v>
      </c>
      <c r="G13">
        <f t="shared" si="0"/>
        <v>150</v>
      </c>
      <c r="H13">
        <v>8</v>
      </c>
      <c r="I13">
        <f t="shared" si="2"/>
        <v>13.75</v>
      </c>
      <c r="J13">
        <f>SQRT(12*(1-0.3^2)*I13^2*N13/(4*PI()^2*O13))</f>
        <v>0.28906822465146947</v>
      </c>
      <c r="K13">
        <f>H13*I13/200</f>
        <v>0.55000000000000004</v>
      </c>
      <c r="L13">
        <f>E13/1000</f>
        <v>1</v>
      </c>
      <c r="M13">
        <v>2.5</v>
      </c>
      <c r="N13">
        <f t="shared" si="5"/>
        <v>325</v>
      </c>
      <c r="O13">
        <f>193000*D13+(1-D13)*206000</f>
        <v>203400</v>
      </c>
      <c r="P13">
        <f>H13*I13*H13*4</f>
        <v>3520</v>
      </c>
      <c r="Q13">
        <f>PI()*(M13*H13)^2-PI()*((M13-1)*H13)^2</f>
        <v>804.24771931898704</v>
      </c>
      <c r="R13">
        <f>P13+Q13</f>
        <v>4324.247719318987</v>
      </c>
      <c r="S13">
        <f t="shared" si="7"/>
        <v>14118333.707433984</v>
      </c>
      <c r="T13">
        <f>SQRT(S13/R13)</f>
        <v>57.139500414724267</v>
      </c>
      <c r="U13">
        <f>E13/T13</f>
        <v>17.50102805838166</v>
      </c>
      <c r="V13">
        <f>U13/PI()*SQRT(N13/O13)</f>
        <v>0.22267932418531081</v>
      </c>
      <c r="W13">
        <f>R13*N13/1000</f>
        <v>1405.3805087786709</v>
      </c>
      <c r="X13">
        <v>1484.1</v>
      </c>
      <c r="Y13">
        <f t="shared" si="12"/>
        <v>1.0560129379407284</v>
      </c>
      <c r="Z13" t="str">
        <f t="shared" si="13"/>
        <v>LC-G12</v>
      </c>
      <c r="AA13">
        <f t="shared" si="14"/>
        <v>490</v>
      </c>
      <c r="AB13">
        <f>C13/(0.2+185*C13/193000)</f>
        <v>517.02058150931066</v>
      </c>
      <c r="AC13">
        <f t="shared" si="15"/>
        <v>519.7880493042129</v>
      </c>
      <c r="AD13">
        <f t="shared" si="16"/>
        <v>325.88344850615891</v>
      </c>
      <c r="AE13">
        <f t="shared" si="17"/>
        <v>473.25094511267991</v>
      </c>
      <c r="AF13">
        <f>(AE13*Q13+N13*P13)/1000</f>
        <v>1524.610993272428</v>
      </c>
      <c r="AG13">
        <f t="shared" si="1"/>
        <v>0.97342863625463227</v>
      </c>
    </row>
    <row r="14" spans="1:33" x14ac:dyDescent="0.25">
      <c r="A14">
        <v>13</v>
      </c>
      <c r="B14">
        <v>355</v>
      </c>
      <c r="C14">
        <v>205</v>
      </c>
      <c r="D14">
        <v>0.2</v>
      </c>
      <c r="E14">
        <v>2000</v>
      </c>
      <c r="F14">
        <v>110</v>
      </c>
      <c r="G14">
        <f t="shared" si="0"/>
        <v>150</v>
      </c>
      <c r="H14">
        <v>8</v>
      </c>
      <c r="I14">
        <f t="shared" si="2"/>
        <v>13.75</v>
      </c>
      <c r="J14">
        <f>SQRT(12*(1-0.3^2)*I14^2*N14/(4*PI()^2*O14))</f>
        <v>0.28906822465146947</v>
      </c>
      <c r="K14">
        <f t="shared" ref="K14:K21" si="43">H14*I14/200</f>
        <v>0.55000000000000004</v>
      </c>
      <c r="L14">
        <f t="shared" ref="L14:L23" si="44">E14/1000</f>
        <v>2</v>
      </c>
      <c r="M14">
        <v>2.5</v>
      </c>
      <c r="N14">
        <f t="shared" si="5"/>
        <v>325</v>
      </c>
      <c r="O14">
        <f>193000*D14+(1-D14)*206000</f>
        <v>203400</v>
      </c>
      <c r="P14">
        <f>H14*I14*H14*4</f>
        <v>3520</v>
      </c>
      <c r="Q14">
        <f>PI()*(M14*H14)^2-PI()*((M14-1)*H14)^2</f>
        <v>804.24771931898704</v>
      </c>
      <c r="R14">
        <f t="shared" ref="R14:R21" si="45">P14+Q14</f>
        <v>4324.247719318987</v>
      </c>
      <c r="S14">
        <f t="shared" si="7"/>
        <v>14118333.707433984</v>
      </c>
      <c r="T14">
        <f t="shared" ref="T14:T21" si="46">SQRT(S14/R14)</f>
        <v>57.139500414724267</v>
      </c>
      <c r="U14">
        <f t="shared" ref="U14:U21" si="47">E14/T14</f>
        <v>35.00205611676332</v>
      </c>
      <c r="V14">
        <f t="shared" ref="V14:V21" si="48">U14/PI()*SQRT(N14/O14)</f>
        <v>0.44535864837062161</v>
      </c>
      <c r="W14">
        <f t="shared" ref="W14:W21" si="49">R14*N14/1000</f>
        <v>1405.3805087786709</v>
      </c>
      <c r="X14">
        <v>1277.2</v>
      </c>
      <c r="Y14">
        <f t="shared" si="12"/>
        <v>0.90879302226123471</v>
      </c>
      <c r="Z14" t="str">
        <f t="shared" si="13"/>
        <v>LC-G13</v>
      </c>
      <c r="AA14">
        <f t="shared" si="14"/>
        <v>490</v>
      </c>
      <c r="AB14">
        <f>C14/(0.2+185*C14/193000)</f>
        <v>517.02058150931066</v>
      </c>
      <c r="AC14">
        <f t="shared" si="15"/>
        <v>519.7880493042129</v>
      </c>
      <c r="AD14">
        <f t="shared" si="16"/>
        <v>325.88344850615891</v>
      </c>
      <c r="AE14">
        <f t="shared" si="17"/>
        <v>473.25094511267991</v>
      </c>
      <c r="AF14">
        <f t="shared" ref="AF14:AF21" si="50">(AE14*Q14+N14*P14)/1000</f>
        <v>1524.610993272428</v>
      </c>
      <c r="AG14">
        <f t="shared" si="1"/>
        <v>0.83772188816415094</v>
      </c>
    </row>
    <row r="15" spans="1:33" x14ac:dyDescent="0.25">
      <c r="A15">
        <v>14</v>
      </c>
      <c r="B15">
        <v>355</v>
      </c>
      <c r="C15">
        <v>205</v>
      </c>
      <c r="D15">
        <v>0.2</v>
      </c>
      <c r="E15">
        <v>3000</v>
      </c>
      <c r="F15">
        <v>110</v>
      </c>
      <c r="G15">
        <f t="shared" si="0"/>
        <v>150</v>
      </c>
      <c r="H15">
        <v>8</v>
      </c>
      <c r="I15">
        <f t="shared" si="2"/>
        <v>13.75</v>
      </c>
      <c r="J15">
        <f>SQRT(12*(1-0.3^2)*I15^2*N15/(4*PI()^2*O15))</f>
        <v>0.28906822465146947</v>
      </c>
      <c r="K15">
        <f t="shared" si="43"/>
        <v>0.55000000000000004</v>
      </c>
      <c r="L15">
        <f t="shared" si="44"/>
        <v>3</v>
      </c>
      <c r="M15">
        <v>2.5</v>
      </c>
      <c r="N15">
        <f t="shared" si="5"/>
        <v>325</v>
      </c>
      <c r="O15">
        <f>193000*D15+(1-D15)*206000</f>
        <v>203400</v>
      </c>
      <c r="P15">
        <f>H15*I15*H15*4</f>
        <v>3520</v>
      </c>
      <c r="Q15">
        <f>PI()*(M15*H15)^2-PI()*((M15-1)*H15)^2</f>
        <v>804.24771931898704</v>
      </c>
      <c r="R15">
        <f t="shared" si="45"/>
        <v>4324.247719318987</v>
      </c>
      <c r="S15">
        <f t="shared" si="7"/>
        <v>14118333.707433984</v>
      </c>
      <c r="T15">
        <f t="shared" si="46"/>
        <v>57.139500414724267</v>
      </c>
      <c r="U15">
        <f t="shared" si="47"/>
        <v>52.503084175144984</v>
      </c>
      <c r="V15">
        <f t="shared" si="48"/>
        <v>0.66803797255593245</v>
      </c>
      <c r="W15">
        <f t="shared" si="49"/>
        <v>1405.3805087786709</v>
      </c>
      <c r="X15">
        <v>1116.5999999999999</v>
      </c>
      <c r="Y15">
        <f t="shared" si="12"/>
        <v>0.79451792096531049</v>
      </c>
      <c r="Z15" t="str">
        <f t="shared" si="13"/>
        <v>LC-G14</v>
      </c>
      <c r="AA15">
        <f t="shared" si="14"/>
        <v>490</v>
      </c>
      <c r="AB15">
        <f>C15/(0.2+185*C15/193000)</f>
        <v>517.02058150931066</v>
      </c>
      <c r="AC15">
        <f t="shared" si="15"/>
        <v>519.7880493042129</v>
      </c>
      <c r="AD15">
        <f t="shared" si="16"/>
        <v>325.88344850615891</v>
      </c>
      <c r="AE15">
        <f t="shared" si="17"/>
        <v>473.25094511267991</v>
      </c>
      <c r="AF15">
        <f t="shared" si="50"/>
        <v>1524.610993272428</v>
      </c>
      <c r="AG15">
        <f t="shared" si="1"/>
        <v>0.73238354237714598</v>
      </c>
    </row>
    <row r="16" spans="1:33" x14ac:dyDescent="0.25">
      <c r="A16">
        <v>15</v>
      </c>
      <c r="B16">
        <v>355</v>
      </c>
      <c r="C16">
        <v>205</v>
      </c>
      <c r="D16">
        <v>0.2</v>
      </c>
      <c r="E16">
        <v>4000</v>
      </c>
      <c r="F16">
        <v>110</v>
      </c>
      <c r="G16">
        <f t="shared" si="0"/>
        <v>150</v>
      </c>
      <c r="H16">
        <v>8</v>
      </c>
      <c r="I16">
        <f t="shared" si="2"/>
        <v>13.75</v>
      </c>
      <c r="J16">
        <f t="shared" ref="J16:J21" si="51">SQRT(12*(1-0.3^2)*I16^2*N16/(4*PI()^2*O16))</f>
        <v>0.28906822465146947</v>
      </c>
      <c r="K16">
        <f t="shared" si="43"/>
        <v>0.55000000000000004</v>
      </c>
      <c r="L16">
        <f t="shared" si="44"/>
        <v>4</v>
      </c>
      <c r="M16">
        <v>2.5</v>
      </c>
      <c r="N16">
        <f t="shared" si="5"/>
        <v>325</v>
      </c>
      <c r="O16">
        <f t="shared" ref="O16:O21" si="52">193000*D16+(1-D16)*206000</f>
        <v>203400</v>
      </c>
      <c r="P16">
        <f t="shared" ref="P16:P21" si="53">H16*I16*H16*4</f>
        <v>3520</v>
      </c>
      <c r="Q16">
        <f t="shared" ref="Q16:Q21" si="54">PI()*(M16*H16)^2-PI()*((M16-1)*H16)^2</f>
        <v>804.24771931898704</v>
      </c>
      <c r="R16">
        <f t="shared" si="45"/>
        <v>4324.247719318987</v>
      </c>
      <c r="S16">
        <f t="shared" si="7"/>
        <v>14118333.707433984</v>
      </c>
      <c r="T16">
        <f t="shared" si="46"/>
        <v>57.139500414724267</v>
      </c>
      <c r="U16">
        <f t="shared" si="47"/>
        <v>70.004112233526641</v>
      </c>
      <c r="V16">
        <f t="shared" si="48"/>
        <v>0.89071729674124323</v>
      </c>
      <c r="W16">
        <f t="shared" si="49"/>
        <v>1405.3805087786709</v>
      </c>
      <c r="X16">
        <v>962.3</v>
      </c>
      <c r="Y16">
        <f t="shared" si="12"/>
        <v>0.68472559138896505</v>
      </c>
      <c r="Z16" t="str">
        <f t="shared" si="13"/>
        <v>LC-G15</v>
      </c>
      <c r="AA16">
        <f t="shared" si="14"/>
        <v>490</v>
      </c>
      <c r="AB16">
        <f t="shared" ref="AB16:AB21" si="55">C16/(0.2+185*C16/193000)</f>
        <v>517.02058150931066</v>
      </c>
      <c r="AC16">
        <f t="shared" si="15"/>
        <v>519.7880493042129</v>
      </c>
      <c r="AD16">
        <f t="shared" si="16"/>
        <v>325.88344850615891</v>
      </c>
      <c r="AE16">
        <f t="shared" si="17"/>
        <v>473.25094511267991</v>
      </c>
      <c r="AF16">
        <f t="shared" si="50"/>
        <v>1524.610993272428</v>
      </c>
      <c r="AG16">
        <f t="shared" si="1"/>
        <v>0.6311773981994695</v>
      </c>
    </row>
    <row r="17" spans="1:33" x14ac:dyDescent="0.25">
      <c r="A17">
        <v>16</v>
      </c>
      <c r="B17">
        <v>355</v>
      </c>
      <c r="C17">
        <v>205</v>
      </c>
      <c r="D17">
        <v>0.2</v>
      </c>
      <c r="E17">
        <v>5000</v>
      </c>
      <c r="F17">
        <v>110</v>
      </c>
      <c r="G17">
        <f t="shared" si="0"/>
        <v>150</v>
      </c>
      <c r="H17">
        <v>8</v>
      </c>
      <c r="I17">
        <f t="shared" si="2"/>
        <v>13.75</v>
      </c>
      <c r="J17">
        <f t="shared" si="51"/>
        <v>0.28906822465146947</v>
      </c>
      <c r="K17">
        <f t="shared" si="43"/>
        <v>0.55000000000000004</v>
      </c>
      <c r="L17">
        <f t="shared" si="44"/>
        <v>5</v>
      </c>
      <c r="M17">
        <v>2.5</v>
      </c>
      <c r="N17">
        <f t="shared" si="5"/>
        <v>325</v>
      </c>
      <c r="O17">
        <f t="shared" si="52"/>
        <v>203400</v>
      </c>
      <c r="P17">
        <f t="shared" si="53"/>
        <v>3520</v>
      </c>
      <c r="Q17">
        <f t="shared" si="54"/>
        <v>804.24771931898704</v>
      </c>
      <c r="R17">
        <f t="shared" si="45"/>
        <v>4324.247719318987</v>
      </c>
      <c r="S17">
        <f t="shared" si="7"/>
        <v>14118333.707433984</v>
      </c>
      <c r="T17">
        <f t="shared" si="46"/>
        <v>57.139500414724267</v>
      </c>
      <c r="U17">
        <f t="shared" si="47"/>
        <v>87.505140291908305</v>
      </c>
      <c r="V17">
        <f t="shared" si="48"/>
        <v>1.113396620926554</v>
      </c>
      <c r="W17">
        <f t="shared" si="49"/>
        <v>1405.3805087786709</v>
      </c>
      <c r="X17">
        <v>799.9</v>
      </c>
      <c r="Y17">
        <f t="shared" si="12"/>
        <v>0.56916969817316132</v>
      </c>
      <c r="Z17" t="str">
        <f t="shared" si="13"/>
        <v>LC-G16</v>
      </c>
      <c r="AA17">
        <f t="shared" si="14"/>
        <v>490</v>
      </c>
      <c r="AB17">
        <f t="shared" si="55"/>
        <v>517.02058150931066</v>
      </c>
      <c r="AC17">
        <f t="shared" si="15"/>
        <v>519.7880493042129</v>
      </c>
      <c r="AD17">
        <f t="shared" si="16"/>
        <v>325.88344850615891</v>
      </c>
      <c r="AE17">
        <f t="shared" si="17"/>
        <v>473.25094511267991</v>
      </c>
      <c r="AF17">
        <f t="shared" si="50"/>
        <v>1524.610993272428</v>
      </c>
      <c r="AG17">
        <f t="shared" si="1"/>
        <v>0.52465842338122792</v>
      </c>
    </row>
    <row r="18" spans="1:33" x14ac:dyDescent="0.25">
      <c r="A18">
        <v>17</v>
      </c>
      <c r="B18">
        <v>355</v>
      </c>
      <c r="C18">
        <v>205</v>
      </c>
      <c r="D18">
        <v>0.2</v>
      </c>
      <c r="E18">
        <v>6000</v>
      </c>
      <c r="F18">
        <v>110</v>
      </c>
      <c r="G18">
        <f t="shared" si="0"/>
        <v>150</v>
      </c>
      <c r="H18">
        <v>8</v>
      </c>
      <c r="I18">
        <f t="shared" si="2"/>
        <v>13.75</v>
      </c>
      <c r="J18">
        <f t="shared" si="51"/>
        <v>0.28906822465146947</v>
      </c>
      <c r="K18">
        <f t="shared" si="43"/>
        <v>0.55000000000000004</v>
      </c>
      <c r="L18">
        <f t="shared" si="44"/>
        <v>6</v>
      </c>
      <c r="M18">
        <v>2.5</v>
      </c>
      <c r="N18">
        <f t="shared" si="5"/>
        <v>325</v>
      </c>
      <c r="O18">
        <f t="shared" si="52"/>
        <v>203400</v>
      </c>
      <c r="P18">
        <f t="shared" si="53"/>
        <v>3520</v>
      </c>
      <c r="Q18">
        <f t="shared" si="54"/>
        <v>804.24771931898704</v>
      </c>
      <c r="R18">
        <f t="shared" si="45"/>
        <v>4324.247719318987</v>
      </c>
      <c r="S18">
        <f t="shared" si="7"/>
        <v>14118333.707433984</v>
      </c>
      <c r="T18">
        <f t="shared" si="46"/>
        <v>57.139500414724267</v>
      </c>
      <c r="U18">
        <f t="shared" si="47"/>
        <v>105.00616835028997</v>
      </c>
      <c r="V18">
        <f t="shared" si="48"/>
        <v>1.3360759451118649</v>
      </c>
      <c r="W18">
        <f t="shared" si="49"/>
        <v>1405.3805087786709</v>
      </c>
      <c r="X18">
        <v>629.6</v>
      </c>
      <c r="Y18">
        <f t="shared" si="12"/>
        <v>0.44799255153121936</v>
      </c>
      <c r="Z18" t="str">
        <f t="shared" si="13"/>
        <v>LC-G17</v>
      </c>
      <c r="AA18">
        <f t="shared" si="14"/>
        <v>490</v>
      </c>
      <c r="AB18">
        <f t="shared" si="55"/>
        <v>517.02058150931066</v>
      </c>
      <c r="AC18">
        <f t="shared" si="15"/>
        <v>519.7880493042129</v>
      </c>
      <c r="AD18">
        <f t="shared" si="16"/>
        <v>325.88344850615891</v>
      </c>
      <c r="AE18">
        <f t="shared" si="17"/>
        <v>473.25094511267991</v>
      </c>
      <c r="AF18">
        <f t="shared" si="50"/>
        <v>1524.610993272428</v>
      </c>
      <c r="AG18">
        <f t="shared" si="1"/>
        <v>0.41295779892589213</v>
      </c>
    </row>
    <row r="19" spans="1:33" x14ac:dyDescent="0.25">
      <c r="A19">
        <v>18</v>
      </c>
      <c r="B19">
        <v>355</v>
      </c>
      <c r="C19">
        <v>205</v>
      </c>
      <c r="D19">
        <v>0.2</v>
      </c>
      <c r="E19">
        <v>7000</v>
      </c>
      <c r="F19">
        <v>110</v>
      </c>
      <c r="G19">
        <f t="shared" si="0"/>
        <v>150</v>
      </c>
      <c r="H19">
        <v>8</v>
      </c>
      <c r="I19">
        <f t="shared" si="2"/>
        <v>13.75</v>
      </c>
      <c r="J19">
        <f t="shared" si="51"/>
        <v>0.28906822465146947</v>
      </c>
      <c r="K19">
        <f t="shared" si="43"/>
        <v>0.55000000000000004</v>
      </c>
      <c r="L19">
        <f t="shared" si="44"/>
        <v>7</v>
      </c>
      <c r="M19">
        <v>2.5</v>
      </c>
      <c r="N19">
        <f t="shared" si="5"/>
        <v>325</v>
      </c>
      <c r="O19">
        <f t="shared" si="52"/>
        <v>203400</v>
      </c>
      <c r="P19">
        <f t="shared" si="53"/>
        <v>3520</v>
      </c>
      <c r="Q19">
        <f t="shared" si="54"/>
        <v>804.24771931898704</v>
      </c>
      <c r="R19">
        <f t="shared" si="45"/>
        <v>4324.247719318987</v>
      </c>
      <c r="S19">
        <f t="shared" si="7"/>
        <v>14118333.707433984</v>
      </c>
      <c r="T19">
        <f t="shared" si="46"/>
        <v>57.139500414724267</v>
      </c>
      <c r="U19">
        <f t="shared" si="47"/>
        <v>122.50719640867163</v>
      </c>
      <c r="V19">
        <f t="shared" si="48"/>
        <v>1.5587552692971756</v>
      </c>
      <c r="W19">
        <f t="shared" si="49"/>
        <v>1405.3805087786709</v>
      </c>
      <c r="X19">
        <v>493</v>
      </c>
      <c r="Y19">
        <f t="shared" si="12"/>
        <v>0.3507946758336899</v>
      </c>
      <c r="Z19" t="str">
        <f t="shared" si="13"/>
        <v>LC-G18</v>
      </c>
      <c r="AA19">
        <f t="shared" si="14"/>
        <v>490</v>
      </c>
      <c r="AB19">
        <f t="shared" si="55"/>
        <v>517.02058150931066</v>
      </c>
      <c r="AC19">
        <f t="shared" si="15"/>
        <v>519.7880493042129</v>
      </c>
      <c r="AD19">
        <f t="shared" si="16"/>
        <v>325.88344850615891</v>
      </c>
      <c r="AE19">
        <f t="shared" si="17"/>
        <v>473.25094511267991</v>
      </c>
      <c r="AF19">
        <f t="shared" si="50"/>
        <v>1524.610993272428</v>
      </c>
      <c r="AG19">
        <f t="shared" si="1"/>
        <v>0.32336117355537614</v>
      </c>
    </row>
    <row r="20" spans="1:33" x14ac:dyDescent="0.25">
      <c r="A20">
        <v>19</v>
      </c>
      <c r="B20">
        <v>355</v>
      </c>
      <c r="C20">
        <v>205</v>
      </c>
      <c r="D20">
        <v>0.2</v>
      </c>
      <c r="E20">
        <v>8000</v>
      </c>
      <c r="F20">
        <v>110</v>
      </c>
      <c r="G20">
        <f t="shared" si="0"/>
        <v>150</v>
      </c>
      <c r="H20">
        <v>8</v>
      </c>
      <c r="I20">
        <f t="shared" si="2"/>
        <v>13.75</v>
      </c>
      <c r="J20">
        <f t="shared" si="51"/>
        <v>0.28906822465146947</v>
      </c>
      <c r="K20">
        <f t="shared" si="43"/>
        <v>0.55000000000000004</v>
      </c>
      <c r="L20">
        <f t="shared" si="44"/>
        <v>8</v>
      </c>
      <c r="M20">
        <v>2.5</v>
      </c>
      <c r="N20">
        <f t="shared" si="5"/>
        <v>325</v>
      </c>
      <c r="O20">
        <f t="shared" si="52"/>
        <v>203400</v>
      </c>
      <c r="P20">
        <f t="shared" si="53"/>
        <v>3520</v>
      </c>
      <c r="Q20">
        <f t="shared" si="54"/>
        <v>804.24771931898704</v>
      </c>
      <c r="R20">
        <f t="shared" si="45"/>
        <v>4324.247719318987</v>
      </c>
      <c r="S20">
        <f t="shared" si="7"/>
        <v>14118333.707433984</v>
      </c>
      <c r="T20">
        <f t="shared" si="46"/>
        <v>57.139500414724267</v>
      </c>
      <c r="U20">
        <f t="shared" si="47"/>
        <v>140.00822446705328</v>
      </c>
      <c r="V20">
        <f t="shared" si="48"/>
        <v>1.7814345934824865</v>
      </c>
      <c r="W20">
        <f t="shared" si="49"/>
        <v>1405.3805087786709</v>
      </c>
      <c r="X20">
        <v>390.3</v>
      </c>
      <c r="Y20">
        <f t="shared" si="12"/>
        <v>0.27771838129389281</v>
      </c>
      <c r="Z20" t="str">
        <f t="shared" si="13"/>
        <v>LC-G19</v>
      </c>
      <c r="AA20">
        <f t="shared" si="14"/>
        <v>490</v>
      </c>
      <c r="AB20">
        <f t="shared" si="55"/>
        <v>517.02058150931066</v>
      </c>
      <c r="AC20">
        <f t="shared" si="15"/>
        <v>519.7880493042129</v>
      </c>
      <c r="AD20">
        <f t="shared" si="16"/>
        <v>325.88344850615891</v>
      </c>
      <c r="AE20">
        <f t="shared" si="17"/>
        <v>473.25094511267991</v>
      </c>
      <c r="AF20">
        <f t="shared" si="50"/>
        <v>1524.610993272428</v>
      </c>
      <c r="AG20">
        <f t="shared" si="1"/>
        <v>0.25599972827315076</v>
      </c>
    </row>
    <row r="21" spans="1:33" x14ac:dyDescent="0.25">
      <c r="A21">
        <v>20</v>
      </c>
      <c r="B21">
        <v>355</v>
      </c>
      <c r="C21">
        <v>205</v>
      </c>
      <c r="D21">
        <v>0.2</v>
      </c>
      <c r="E21">
        <v>9000</v>
      </c>
      <c r="F21">
        <v>110</v>
      </c>
      <c r="G21">
        <f t="shared" si="0"/>
        <v>150</v>
      </c>
      <c r="H21">
        <v>8</v>
      </c>
      <c r="I21">
        <f t="shared" si="2"/>
        <v>13.75</v>
      </c>
      <c r="J21">
        <f t="shared" si="51"/>
        <v>0.28906822465146947</v>
      </c>
      <c r="K21">
        <f t="shared" si="43"/>
        <v>0.55000000000000004</v>
      </c>
      <c r="L21">
        <f t="shared" si="44"/>
        <v>9</v>
      </c>
      <c r="M21">
        <v>2.5</v>
      </c>
      <c r="N21">
        <f t="shared" si="5"/>
        <v>325</v>
      </c>
      <c r="O21">
        <f t="shared" si="52"/>
        <v>203400</v>
      </c>
      <c r="P21">
        <f t="shared" si="53"/>
        <v>3520</v>
      </c>
      <c r="Q21">
        <f t="shared" si="54"/>
        <v>804.24771931898704</v>
      </c>
      <c r="R21">
        <f t="shared" si="45"/>
        <v>4324.247719318987</v>
      </c>
      <c r="S21">
        <f t="shared" si="7"/>
        <v>14118333.707433984</v>
      </c>
      <c r="T21">
        <f t="shared" si="46"/>
        <v>57.139500414724267</v>
      </c>
      <c r="U21">
        <f t="shared" si="47"/>
        <v>157.50925252543496</v>
      </c>
      <c r="V21">
        <f t="shared" si="48"/>
        <v>2.0041139176677971</v>
      </c>
      <c r="W21">
        <f t="shared" si="49"/>
        <v>1405.3805087786709</v>
      </c>
      <c r="X21">
        <v>314.8</v>
      </c>
      <c r="Y21">
        <f t="shared" si="12"/>
        <v>0.22399627576560968</v>
      </c>
      <c r="Z21" t="str">
        <f t="shared" si="13"/>
        <v>LC-G20</v>
      </c>
      <c r="AA21">
        <f t="shared" si="14"/>
        <v>490</v>
      </c>
      <c r="AB21">
        <f t="shared" si="55"/>
        <v>517.02058150931066</v>
      </c>
      <c r="AC21">
        <f t="shared" si="15"/>
        <v>519.7880493042129</v>
      </c>
      <c r="AD21">
        <f t="shared" si="16"/>
        <v>325.88344850615891</v>
      </c>
      <c r="AE21">
        <f t="shared" si="17"/>
        <v>473.25094511267991</v>
      </c>
      <c r="AF21">
        <f t="shared" si="50"/>
        <v>1524.610993272428</v>
      </c>
      <c r="AG21">
        <f t="shared" si="1"/>
        <v>0.20647889946294606</v>
      </c>
    </row>
    <row r="22" spans="1:33" x14ac:dyDescent="0.25">
      <c r="A22">
        <v>21</v>
      </c>
      <c r="B22">
        <v>355</v>
      </c>
      <c r="C22">
        <v>205</v>
      </c>
      <c r="D22">
        <v>0.2</v>
      </c>
      <c r="E22">
        <v>10000</v>
      </c>
      <c r="F22">
        <v>110</v>
      </c>
      <c r="G22">
        <f t="shared" si="0"/>
        <v>150</v>
      </c>
      <c r="H22">
        <v>8</v>
      </c>
      <c r="I22">
        <f t="shared" si="2"/>
        <v>13.75</v>
      </c>
      <c r="J22">
        <f>SQRT(12*(1-0.3^2)*I22^2*N22/(4*PI()^2*O22))</f>
        <v>0.28906822465146947</v>
      </c>
      <c r="K22">
        <f>H22*I22/200</f>
        <v>0.55000000000000004</v>
      </c>
      <c r="L22">
        <f t="shared" si="44"/>
        <v>10</v>
      </c>
      <c r="M22">
        <v>2.5</v>
      </c>
      <c r="N22">
        <f t="shared" si="5"/>
        <v>325</v>
      </c>
      <c r="O22">
        <f>193000*D22+(1-D22)*206000</f>
        <v>203400</v>
      </c>
      <c r="P22">
        <f>H22*I22*H22*4</f>
        <v>3520</v>
      </c>
      <c r="Q22">
        <f>PI()*(M22*H22)^2-PI()*((M22-1)*H22)^2</f>
        <v>804.24771931898704</v>
      </c>
      <c r="R22">
        <f>P22+Q22</f>
        <v>4324.247719318987</v>
      </c>
      <c r="S22">
        <f t="shared" si="7"/>
        <v>14118333.707433984</v>
      </c>
      <c r="T22">
        <f>SQRT(S22/R22)</f>
        <v>57.139500414724267</v>
      </c>
      <c r="U22">
        <f>E22/T22</f>
        <v>175.01028058381661</v>
      </c>
      <c r="V22">
        <f>U22/PI()*SQRT(N22/O22)</f>
        <v>2.226793241853108</v>
      </c>
      <c r="W22">
        <f>R22*N22/1000</f>
        <v>1405.3805087786709</v>
      </c>
      <c r="X22">
        <v>258.7</v>
      </c>
      <c r="Y22">
        <f t="shared" si="12"/>
        <v>0.18407826092936219</v>
      </c>
      <c r="Z22" t="str">
        <f t="shared" si="13"/>
        <v>LC-G21</v>
      </c>
      <c r="AA22">
        <f t="shared" si="14"/>
        <v>490</v>
      </c>
      <c r="AB22">
        <f>C22/(0.2+185*C22/193000)</f>
        <v>517.02058150931066</v>
      </c>
      <c r="AC22">
        <f t="shared" si="15"/>
        <v>519.7880493042129</v>
      </c>
      <c r="AD22">
        <f t="shared" si="16"/>
        <v>325.88344850615891</v>
      </c>
      <c r="AE22">
        <f t="shared" si="17"/>
        <v>473.25094511267991</v>
      </c>
      <c r="AF22">
        <f>(AE22*Q22+N22*P22)/1000</f>
        <v>1524.610993272428</v>
      </c>
      <c r="AG22">
        <f t="shared" si="1"/>
        <v>0.16968262798940326</v>
      </c>
    </row>
    <row r="23" spans="1:33" x14ac:dyDescent="0.25">
      <c r="A23">
        <v>22</v>
      </c>
      <c r="B23">
        <v>355</v>
      </c>
      <c r="C23">
        <v>205</v>
      </c>
      <c r="D23">
        <v>0.2</v>
      </c>
      <c r="E23">
        <v>12000</v>
      </c>
      <c r="F23">
        <v>110</v>
      </c>
      <c r="G23">
        <f t="shared" si="0"/>
        <v>150</v>
      </c>
      <c r="H23">
        <v>8</v>
      </c>
      <c r="I23">
        <f t="shared" si="2"/>
        <v>13.75</v>
      </c>
      <c r="J23">
        <f>SQRT(12*(1-0.3^2)*I23^2*N23/(4*PI()^2*O23))</f>
        <v>0.28906822465146947</v>
      </c>
      <c r="K23">
        <f t="shared" ref="K23:K30" si="56">H23*I23/200</f>
        <v>0.55000000000000004</v>
      </c>
      <c r="L23">
        <f t="shared" si="44"/>
        <v>12</v>
      </c>
      <c r="M23">
        <v>2.5</v>
      </c>
      <c r="N23">
        <f t="shared" si="5"/>
        <v>325</v>
      </c>
      <c r="O23">
        <f>193000*D23+(1-D23)*206000</f>
        <v>203400</v>
      </c>
      <c r="P23">
        <f>H23*I23*H23*4</f>
        <v>3520</v>
      </c>
      <c r="Q23">
        <f>PI()*(M23*H23)^2-PI()*((M23-1)*H23)^2</f>
        <v>804.24771931898704</v>
      </c>
      <c r="R23">
        <f t="shared" ref="R23:R30" si="57">P23+Q23</f>
        <v>4324.247719318987</v>
      </c>
      <c r="S23">
        <f t="shared" si="7"/>
        <v>14118333.707433984</v>
      </c>
      <c r="T23">
        <f t="shared" ref="T23:T30" si="58">SQRT(S23/R23)</f>
        <v>57.139500414724267</v>
      </c>
      <c r="U23">
        <f t="shared" ref="U23:U30" si="59">E23/T23</f>
        <v>210.01233670057994</v>
      </c>
      <c r="V23">
        <f t="shared" ref="V23:V30" si="60">U23/PI()*SQRT(N23/O23)</f>
        <v>2.6721518902237298</v>
      </c>
      <c r="W23">
        <f t="shared" ref="W23:W30" si="61">R23*N23/1000</f>
        <v>1405.3805087786709</v>
      </c>
      <c r="X23">
        <v>183</v>
      </c>
      <c r="Y23">
        <f t="shared" si="12"/>
        <v>0.13021384518775911</v>
      </c>
      <c r="Z23" t="str">
        <f t="shared" si="13"/>
        <v>LC-G22</v>
      </c>
      <c r="AA23">
        <f t="shared" si="14"/>
        <v>490</v>
      </c>
      <c r="AB23">
        <f>C23/(0.2+185*C23/193000)</f>
        <v>517.02058150931066</v>
      </c>
      <c r="AC23">
        <f t="shared" si="15"/>
        <v>519.7880493042129</v>
      </c>
      <c r="AD23">
        <f t="shared" si="16"/>
        <v>325.88344850615891</v>
      </c>
      <c r="AE23">
        <f t="shared" si="17"/>
        <v>473.25094511267991</v>
      </c>
      <c r="AF23">
        <f t="shared" ref="AF23:AF30" si="62">(AE23*Q23+N23*P23)/1000</f>
        <v>1524.610993272428</v>
      </c>
      <c r="AG23">
        <f t="shared" si="1"/>
        <v>0.12003061817572785</v>
      </c>
    </row>
    <row r="24" spans="1:33" x14ac:dyDescent="0.25">
      <c r="A24">
        <v>23</v>
      </c>
      <c r="B24">
        <v>355</v>
      </c>
      <c r="C24">
        <v>205</v>
      </c>
      <c r="D24">
        <v>0.2</v>
      </c>
      <c r="E24">
        <v>1000</v>
      </c>
      <c r="F24">
        <v>110</v>
      </c>
      <c r="G24">
        <f t="shared" si="0"/>
        <v>150</v>
      </c>
      <c r="H24">
        <v>8</v>
      </c>
      <c r="I24">
        <f t="shared" si="2"/>
        <v>13.75</v>
      </c>
      <c r="J24">
        <f>SQRT(12*(1-0.3^2)*I24^2*N24/(4*PI()^2*O24))</f>
        <v>0.28906822465146947</v>
      </c>
      <c r="K24">
        <f t="shared" si="56"/>
        <v>0.55000000000000004</v>
      </c>
      <c r="L24">
        <f>E24/2000</f>
        <v>0.5</v>
      </c>
      <c r="M24">
        <v>2.5</v>
      </c>
      <c r="N24">
        <f t="shared" si="5"/>
        <v>325</v>
      </c>
      <c r="O24">
        <f>193000*D24+(1-D24)*206000</f>
        <v>203400</v>
      </c>
      <c r="P24">
        <f>H24*I24*H24*4</f>
        <v>3520</v>
      </c>
      <c r="Q24">
        <f>PI()*(M24*H24)^2-PI()*((M24-1)*H24)^2</f>
        <v>804.24771931898704</v>
      </c>
      <c r="R24">
        <f t="shared" si="57"/>
        <v>4324.247719318987</v>
      </c>
      <c r="S24">
        <f t="shared" si="7"/>
        <v>14118333.707433984</v>
      </c>
      <c r="T24">
        <f t="shared" si="58"/>
        <v>57.139500414724267</v>
      </c>
      <c r="U24">
        <f t="shared" si="59"/>
        <v>17.50102805838166</v>
      </c>
      <c r="V24">
        <f t="shared" si="60"/>
        <v>0.22267932418531081</v>
      </c>
      <c r="W24">
        <f t="shared" si="61"/>
        <v>1405.3805087786709</v>
      </c>
      <c r="X24">
        <v>1499.2</v>
      </c>
      <c r="Y24">
        <f t="shared" si="12"/>
        <v>1.066757359046385</v>
      </c>
      <c r="Z24" t="str">
        <f t="shared" si="13"/>
        <v>LC-G23</v>
      </c>
      <c r="AA24">
        <f t="shared" si="14"/>
        <v>490</v>
      </c>
      <c r="AB24">
        <f>C24/(0.2+185*C24/193000)</f>
        <v>517.02058150931066</v>
      </c>
      <c r="AC24">
        <f t="shared" si="15"/>
        <v>519.7880493042129</v>
      </c>
      <c r="AD24">
        <f t="shared" si="16"/>
        <v>325.88344850615891</v>
      </c>
      <c r="AE24">
        <f t="shared" si="17"/>
        <v>473.25094511267991</v>
      </c>
      <c r="AF24">
        <f t="shared" si="62"/>
        <v>1524.610993272428</v>
      </c>
      <c r="AG24">
        <f t="shared" si="1"/>
        <v>0.98333280201667328</v>
      </c>
    </row>
    <row r="25" spans="1:33" x14ac:dyDescent="0.25">
      <c r="A25">
        <v>24</v>
      </c>
      <c r="B25">
        <v>355</v>
      </c>
      <c r="C25">
        <v>205</v>
      </c>
      <c r="D25">
        <v>0.2</v>
      </c>
      <c r="E25">
        <v>2000</v>
      </c>
      <c r="F25">
        <v>110</v>
      </c>
      <c r="G25">
        <f t="shared" si="0"/>
        <v>150</v>
      </c>
      <c r="H25">
        <v>8</v>
      </c>
      <c r="I25">
        <f t="shared" si="2"/>
        <v>13.75</v>
      </c>
      <c r="J25">
        <f t="shared" ref="J25:J30" si="63">SQRT(12*(1-0.3^2)*I25^2*N25/(4*PI()^2*O25))</f>
        <v>0.28906822465146947</v>
      </c>
      <c r="K25">
        <f t="shared" si="56"/>
        <v>0.55000000000000004</v>
      </c>
      <c r="L25">
        <f t="shared" ref="L25:L34" si="64">E25/2000</f>
        <v>1</v>
      </c>
      <c r="M25">
        <v>2.5</v>
      </c>
      <c r="N25">
        <f t="shared" si="5"/>
        <v>325</v>
      </c>
      <c r="O25">
        <f t="shared" ref="O25:O30" si="65">193000*D25+(1-D25)*206000</f>
        <v>203400</v>
      </c>
      <c r="P25">
        <f t="shared" ref="P25:P30" si="66">H25*I25*H25*4</f>
        <v>3520</v>
      </c>
      <c r="Q25">
        <f t="shared" ref="Q25:Q30" si="67">PI()*(M25*H25)^2-PI()*((M25-1)*H25)^2</f>
        <v>804.24771931898704</v>
      </c>
      <c r="R25">
        <f t="shared" si="57"/>
        <v>4324.247719318987</v>
      </c>
      <c r="S25">
        <f t="shared" si="7"/>
        <v>14118333.707433984</v>
      </c>
      <c r="T25">
        <f t="shared" si="58"/>
        <v>57.139500414724267</v>
      </c>
      <c r="U25">
        <f t="shared" si="59"/>
        <v>35.00205611676332</v>
      </c>
      <c r="V25">
        <f t="shared" si="60"/>
        <v>0.44535864837062161</v>
      </c>
      <c r="W25">
        <f t="shared" si="61"/>
        <v>1405.3805087786709</v>
      </c>
      <c r="X25">
        <v>1306</v>
      </c>
      <c r="Y25">
        <f t="shared" si="12"/>
        <v>0.9292856929793083</v>
      </c>
      <c r="Z25" t="str">
        <f t="shared" si="13"/>
        <v>LC-G24</v>
      </c>
      <c r="AA25">
        <f t="shared" si="14"/>
        <v>490</v>
      </c>
      <c r="AB25">
        <f t="shared" ref="AB25:AB30" si="68">C25/(0.2+185*C25/193000)</f>
        <v>517.02058150931066</v>
      </c>
      <c r="AC25">
        <f t="shared" si="15"/>
        <v>519.7880493042129</v>
      </c>
      <c r="AD25">
        <f t="shared" si="16"/>
        <v>325.88344850615891</v>
      </c>
      <c r="AE25">
        <f t="shared" si="17"/>
        <v>473.25094511267991</v>
      </c>
      <c r="AF25">
        <f t="shared" si="62"/>
        <v>1524.610993272428</v>
      </c>
      <c r="AG25">
        <f t="shared" si="1"/>
        <v>0.85661195266393764</v>
      </c>
    </row>
    <row r="26" spans="1:33" x14ac:dyDescent="0.25">
      <c r="A26">
        <v>25</v>
      </c>
      <c r="B26">
        <v>355</v>
      </c>
      <c r="C26">
        <v>205</v>
      </c>
      <c r="D26">
        <v>0.2</v>
      </c>
      <c r="E26">
        <v>3000</v>
      </c>
      <c r="F26">
        <v>110</v>
      </c>
      <c r="G26">
        <f t="shared" si="0"/>
        <v>150</v>
      </c>
      <c r="H26">
        <v>8</v>
      </c>
      <c r="I26">
        <f t="shared" si="2"/>
        <v>13.75</v>
      </c>
      <c r="J26">
        <f t="shared" si="63"/>
        <v>0.28906822465146947</v>
      </c>
      <c r="K26">
        <f t="shared" si="56"/>
        <v>0.55000000000000004</v>
      </c>
      <c r="L26">
        <f t="shared" si="64"/>
        <v>1.5</v>
      </c>
      <c r="M26">
        <v>2.5</v>
      </c>
      <c r="N26">
        <f t="shared" si="5"/>
        <v>325</v>
      </c>
      <c r="O26">
        <f t="shared" si="65"/>
        <v>203400</v>
      </c>
      <c r="P26">
        <f t="shared" si="66"/>
        <v>3520</v>
      </c>
      <c r="Q26">
        <f t="shared" si="67"/>
        <v>804.24771931898704</v>
      </c>
      <c r="R26">
        <f t="shared" si="57"/>
        <v>4324.247719318987</v>
      </c>
      <c r="S26">
        <f t="shared" si="7"/>
        <v>14118333.707433984</v>
      </c>
      <c r="T26">
        <f t="shared" si="58"/>
        <v>57.139500414724267</v>
      </c>
      <c r="U26">
        <f t="shared" si="59"/>
        <v>52.503084175144984</v>
      </c>
      <c r="V26">
        <f t="shared" si="60"/>
        <v>0.66803797255593245</v>
      </c>
      <c r="W26">
        <f t="shared" si="61"/>
        <v>1405.3805087786709</v>
      </c>
      <c r="X26">
        <v>1165.0999999999999</v>
      </c>
      <c r="Y26">
        <f t="shared" si="12"/>
        <v>0.82902814769539968</v>
      </c>
      <c r="Z26" t="str">
        <f t="shared" si="13"/>
        <v>LC-G25</v>
      </c>
      <c r="AA26">
        <f t="shared" si="14"/>
        <v>490</v>
      </c>
      <c r="AB26">
        <f t="shared" si="68"/>
        <v>517.02058150931066</v>
      </c>
      <c r="AC26">
        <f t="shared" si="15"/>
        <v>519.7880493042129</v>
      </c>
      <c r="AD26">
        <f t="shared" si="16"/>
        <v>325.88344850615891</v>
      </c>
      <c r="AE26">
        <f t="shared" si="17"/>
        <v>473.25094511267991</v>
      </c>
      <c r="AF26">
        <f t="shared" si="62"/>
        <v>1524.610993272428</v>
      </c>
      <c r="AG26">
        <f t="shared" si="1"/>
        <v>0.76419493571880059</v>
      </c>
    </row>
    <row r="27" spans="1:33" x14ac:dyDescent="0.25">
      <c r="A27">
        <v>26</v>
      </c>
      <c r="B27">
        <v>355</v>
      </c>
      <c r="C27">
        <v>205</v>
      </c>
      <c r="D27">
        <v>0.2</v>
      </c>
      <c r="E27">
        <v>4000</v>
      </c>
      <c r="F27">
        <v>110</v>
      </c>
      <c r="G27">
        <f t="shared" si="0"/>
        <v>150</v>
      </c>
      <c r="H27">
        <v>8</v>
      </c>
      <c r="I27">
        <f t="shared" si="2"/>
        <v>13.75</v>
      </c>
      <c r="J27">
        <f t="shared" si="63"/>
        <v>0.28906822465146947</v>
      </c>
      <c r="K27">
        <f t="shared" si="56"/>
        <v>0.55000000000000004</v>
      </c>
      <c r="L27">
        <f t="shared" si="64"/>
        <v>2</v>
      </c>
      <c r="M27">
        <v>2.5</v>
      </c>
      <c r="N27">
        <f t="shared" si="5"/>
        <v>325</v>
      </c>
      <c r="O27">
        <f t="shared" si="65"/>
        <v>203400</v>
      </c>
      <c r="P27">
        <f t="shared" si="66"/>
        <v>3520</v>
      </c>
      <c r="Q27">
        <f t="shared" si="67"/>
        <v>804.24771931898704</v>
      </c>
      <c r="R27">
        <f t="shared" si="57"/>
        <v>4324.247719318987</v>
      </c>
      <c r="S27">
        <f t="shared" si="7"/>
        <v>14118333.707433984</v>
      </c>
      <c r="T27">
        <f t="shared" si="58"/>
        <v>57.139500414724267</v>
      </c>
      <c r="U27">
        <f t="shared" si="59"/>
        <v>70.004112233526641</v>
      </c>
      <c r="V27">
        <f t="shared" si="60"/>
        <v>0.89071729674124323</v>
      </c>
      <c r="W27">
        <f t="shared" si="61"/>
        <v>1405.3805087786709</v>
      </c>
      <c r="X27">
        <v>1031.7</v>
      </c>
      <c r="Y27">
        <f t="shared" si="12"/>
        <v>0.73410723541098954</v>
      </c>
      <c r="Z27" t="str">
        <f t="shared" si="13"/>
        <v>LC-G26</v>
      </c>
      <c r="AA27">
        <f t="shared" si="14"/>
        <v>490</v>
      </c>
      <c r="AB27">
        <f t="shared" si="68"/>
        <v>517.02058150931066</v>
      </c>
      <c r="AC27">
        <f t="shared" si="15"/>
        <v>519.7880493042129</v>
      </c>
      <c r="AD27">
        <f t="shared" si="16"/>
        <v>325.88344850615891</v>
      </c>
      <c r="AE27">
        <f t="shared" si="17"/>
        <v>473.25094511267991</v>
      </c>
      <c r="AF27">
        <f t="shared" si="62"/>
        <v>1524.610993272428</v>
      </c>
      <c r="AG27">
        <f t="shared" si="1"/>
        <v>0.67669720640381659</v>
      </c>
    </row>
    <row r="28" spans="1:33" x14ac:dyDescent="0.25">
      <c r="A28">
        <v>27</v>
      </c>
      <c r="B28">
        <v>355</v>
      </c>
      <c r="C28">
        <v>205</v>
      </c>
      <c r="D28">
        <v>0.2</v>
      </c>
      <c r="E28">
        <v>5000</v>
      </c>
      <c r="F28">
        <v>110</v>
      </c>
      <c r="G28">
        <f t="shared" si="0"/>
        <v>150</v>
      </c>
      <c r="H28">
        <v>8</v>
      </c>
      <c r="I28">
        <f t="shared" si="2"/>
        <v>13.75</v>
      </c>
      <c r="J28">
        <f t="shared" si="63"/>
        <v>0.28906822465146947</v>
      </c>
      <c r="K28">
        <f t="shared" si="56"/>
        <v>0.55000000000000004</v>
      </c>
      <c r="L28">
        <f t="shared" si="64"/>
        <v>2.5</v>
      </c>
      <c r="M28">
        <v>2.5</v>
      </c>
      <c r="N28">
        <f t="shared" si="5"/>
        <v>325</v>
      </c>
      <c r="O28">
        <f t="shared" si="65"/>
        <v>203400</v>
      </c>
      <c r="P28">
        <f t="shared" si="66"/>
        <v>3520</v>
      </c>
      <c r="Q28">
        <f t="shared" si="67"/>
        <v>804.24771931898704</v>
      </c>
      <c r="R28">
        <f t="shared" si="57"/>
        <v>4324.247719318987</v>
      </c>
      <c r="S28">
        <f t="shared" si="7"/>
        <v>14118333.707433984</v>
      </c>
      <c r="T28">
        <f t="shared" si="58"/>
        <v>57.139500414724267</v>
      </c>
      <c r="U28">
        <f t="shared" si="59"/>
        <v>87.505140291908305</v>
      </c>
      <c r="V28">
        <f t="shared" si="60"/>
        <v>1.113396620926554</v>
      </c>
      <c r="W28">
        <f t="shared" si="61"/>
        <v>1405.3805087786709</v>
      </c>
      <c r="X28">
        <v>878.2</v>
      </c>
      <c r="Y28">
        <f t="shared" si="12"/>
        <v>0.6248841466879238</v>
      </c>
      <c r="Z28" t="str">
        <f t="shared" si="13"/>
        <v>LC-G27</v>
      </c>
      <c r="AA28">
        <f t="shared" si="14"/>
        <v>490</v>
      </c>
      <c r="AB28">
        <f t="shared" si="68"/>
        <v>517.02058150931066</v>
      </c>
      <c r="AC28">
        <f t="shared" si="15"/>
        <v>519.7880493042129</v>
      </c>
      <c r="AD28">
        <f t="shared" si="16"/>
        <v>325.88344850615891</v>
      </c>
      <c r="AE28">
        <f t="shared" si="17"/>
        <v>473.25094511267991</v>
      </c>
      <c r="AF28">
        <f t="shared" si="62"/>
        <v>1524.610993272428</v>
      </c>
      <c r="AG28">
        <f t="shared" si="1"/>
        <v>0.57601578624002303</v>
      </c>
    </row>
    <row r="29" spans="1:33" x14ac:dyDescent="0.25">
      <c r="A29">
        <v>28</v>
      </c>
      <c r="B29">
        <v>355</v>
      </c>
      <c r="C29">
        <v>205</v>
      </c>
      <c r="D29">
        <v>0.2</v>
      </c>
      <c r="E29">
        <v>6000</v>
      </c>
      <c r="F29">
        <v>110</v>
      </c>
      <c r="G29">
        <f t="shared" si="0"/>
        <v>150</v>
      </c>
      <c r="H29">
        <v>8</v>
      </c>
      <c r="I29">
        <f t="shared" si="2"/>
        <v>13.75</v>
      </c>
      <c r="J29">
        <f t="shared" si="63"/>
        <v>0.28906822465146947</v>
      </c>
      <c r="K29">
        <f t="shared" si="56"/>
        <v>0.55000000000000004</v>
      </c>
      <c r="L29">
        <f t="shared" si="64"/>
        <v>3</v>
      </c>
      <c r="M29">
        <v>2.5</v>
      </c>
      <c r="N29">
        <f t="shared" si="5"/>
        <v>325</v>
      </c>
      <c r="O29">
        <f t="shared" si="65"/>
        <v>203400</v>
      </c>
      <c r="P29">
        <f t="shared" si="66"/>
        <v>3520</v>
      </c>
      <c r="Q29">
        <f t="shared" si="67"/>
        <v>804.24771931898704</v>
      </c>
      <c r="R29">
        <f t="shared" si="57"/>
        <v>4324.247719318987</v>
      </c>
      <c r="S29">
        <f t="shared" si="7"/>
        <v>14118333.707433984</v>
      </c>
      <c r="T29">
        <f t="shared" si="58"/>
        <v>57.139500414724267</v>
      </c>
      <c r="U29">
        <f t="shared" si="59"/>
        <v>105.00616835028997</v>
      </c>
      <c r="V29">
        <f t="shared" si="60"/>
        <v>1.3360759451118649</v>
      </c>
      <c r="W29">
        <f t="shared" si="61"/>
        <v>1405.3805087786709</v>
      </c>
      <c r="X29">
        <v>685.7</v>
      </c>
      <c r="Y29">
        <f t="shared" si="12"/>
        <v>0.48791056636746688</v>
      </c>
      <c r="Z29" t="str">
        <f t="shared" si="13"/>
        <v>LC-G28</v>
      </c>
      <c r="AA29">
        <f t="shared" si="14"/>
        <v>490</v>
      </c>
      <c r="AB29">
        <f t="shared" si="68"/>
        <v>517.02058150931066</v>
      </c>
      <c r="AC29">
        <f t="shared" si="15"/>
        <v>519.7880493042129</v>
      </c>
      <c r="AD29">
        <f t="shared" si="16"/>
        <v>325.88344850615891</v>
      </c>
      <c r="AE29">
        <f t="shared" si="17"/>
        <v>473.25094511267991</v>
      </c>
      <c r="AF29">
        <f t="shared" si="62"/>
        <v>1524.610993272428</v>
      </c>
      <c r="AG29">
        <f t="shared" si="1"/>
        <v>0.44975407039943494</v>
      </c>
    </row>
    <row r="30" spans="1:33" x14ac:dyDescent="0.25">
      <c r="A30">
        <v>29</v>
      </c>
      <c r="B30">
        <v>355</v>
      </c>
      <c r="C30">
        <v>205</v>
      </c>
      <c r="D30">
        <v>0.2</v>
      </c>
      <c r="E30">
        <v>7000</v>
      </c>
      <c r="F30">
        <v>110</v>
      </c>
      <c r="G30">
        <f t="shared" si="0"/>
        <v>150</v>
      </c>
      <c r="H30">
        <v>8</v>
      </c>
      <c r="I30">
        <f t="shared" si="2"/>
        <v>13.75</v>
      </c>
      <c r="J30">
        <f t="shared" si="63"/>
        <v>0.28906822465146947</v>
      </c>
      <c r="K30">
        <f t="shared" si="56"/>
        <v>0.55000000000000004</v>
      </c>
      <c r="L30">
        <f t="shared" si="64"/>
        <v>3.5</v>
      </c>
      <c r="M30">
        <v>2.5</v>
      </c>
      <c r="N30">
        <f t="shared" si="5"/>
        <v>325</v>
      </c>
      <c r="O30">
        <f t="shared" si="65"/>
        <v>203400</v>
      </c>
      <c r="P30">
        <f t="shared" si="66"/>
        <v>3520</v>
      </c>
      <c r="Q30">
        <f t="shared" si="67"/>
        <v>804.24771931898704</v>
      </c>
      <c r="R30">
        <f t="shared" si="57"/>
        <v>4324.247719318987</v>
      </c>
      <c r="S30">
        <f t="shared" si="7"/>
        <v>14118333.707433984</v>
      </c>
      <c r="T30">
        <f t="shared" si="58"/>
        <v>57.139500414724267</v>
      </c>
      <c r="U30">
        <f t="shared" si="59"/>
        <v>122.50719640867163</v>
      </c>
      <c r="V30">
        <f t="shared" si="60"/>
        <v>1.5587552692971756</v>
      </c>
      <c r="W30">
        <f t="shared" si="61"/>
        <v>1405.3805087786709</v>
      </c>
      <c r="X30">
        <v>525.9</v>
      </c>
      <c r="Y30">
        <f t="shared" si="12"/>
        <v>0.37420470592482252</v>
      </c>
      <c r="Z30" t="str">
        <f t="shared" si="13"/>
        <v>LC-G29</v>
      </c>
      <c r="AA30">
        <f t="shared" si="14"/>
        <v>490</v>
      </c>
      <c r="AB30">
        <f t="shared" si="68"/>
        <v>517.02058150931066</v>
      </c>
      <c r="AC30">
        <f t="shared" si="15"/>
        <v>519.7880493042129</v>
      </c>
      <c r="AD30">
        <f t="shared" si="16"/>
        <v>325.88344850615891</v>
      </c>
      <c r="AE30">
        <f t="shared" si="17"/>
        <v>473.25094511267991</v>
      </c>
      <c r="AF30">
        <f t="shared" si="62"/>
        <v>1524.610993272428</v>
      </c>
      <c r="AG30">
        <f t="shared" si="1"/>
        <v>0.34494044862631301</v>
      </c>
    </row>
    <row r="31" spans="1:33" x14ac:dyDescent="0.25">
      <c r="A31">
        <v>30</v>
      </c>
      <c r="B31">
        <v>355</v>
      </c>
      <c r="C31">
        <v>205</v>
      </c>
      <c r="D31">
        <v>0.2</v>
      </c>
      <c r="E31">
        <v>8000</v>
      </c>
      <c r="F31">
        <v>110</v>
      </c>
      <c r="G31">
        <f t="shared" si="0"/>
        <v>150</v>
      </c>
      <c r="H31">
        <v>8</v>
      </c>
      <c r="I31">
        <f t="shared" si="2"/>
        <v>13.75</v>
      </c>
      <c r="J31">
        <f>SQRT(12*(1-0.3^2)*I31^2*N31/(4*PI()^2*O31))</f>
        <v>0.28906822465146947</v>
      </c>
      <c r="K31">
        <f>H31*I31/200</f>
        <v>0.55000000000000004</v>
      </c>
      <c r="L31">
        <f t="shared" si="64"/>
        <v>4</v>
      </c>
      <c r="M31">
        <v>2.5</v>
      </c>
      <c r="N31">
        <f t="shared" si="5"/>
        <v>325</v>
      </c>
      <c r="O31">
        <f>193000*D31+(1-D31)*206000</f>
        <v>203400</v>
      </c>
      <c r="P31">
        <f>H31*I31*H31*4</f>
        <v>3520</v>
      </c>
      <c r="Q31">
        <f>PI()*(M31*H31)^2-PI()*((M31-1)*H31)^2</f>
        <v>804.24771931898704</v>
      </c>
      <c r="R31">
        <f>P31+Q31</f>
        <v>4324.247719318987</v>
      </c>
      <c r="S31">
        <f t="shared" si="7"/>
        <v>14118333.707433984</v>
      </c>
      <c r="T31">
        <f>SQRT(S31/R31)</f>
        <v>57.139500414724267</v>
      </c>
      <c r="U31">
        <f>E31/T31</f>
        <v>140.00822446705328</v>
      </c>
      <c r="V31">
        <f>U31/PI()*SQRT(N31/O31)</f>
        <v>1.7814345934824865</v>
      </c>
      <c r="W31">
        <f>R31*N31/1000</f>
        <v>1405.3805087786709</v>
      </c>
      <c r="X31">
        <v>412</v>
      </c>
      <c r="Y31">
        <f t="shared" si="12"/>
        <v>0.29315903943910798</v>
      </c>
      <c r="Z31" t="str">
        <f t="shared" si="13"/>
        <v>LC-G30</v>
      </c>
      <c r="AA31">
        <f t="shared" si="14"/>
        <v>490</v>
      </c>
      <c r="AB31">
        <f>C31/(0.2+185*C31/193000)</f>
        <v>517.02058150931066</v>
      </c>
      <c r="AC31">
        <f t="shared" si="15"/>
        <v>519.7880493042129</v>
      </c>
      <c r="AD31">
        <f t="shared" si="16"/>
        <v>325.88344850615891</v>
      </c>
      <c r="AE31">
        <f t="shared" si="17"/>
        <v>473.25094511267991</v>
      </c>
      <c r="AF31">
        <f>(AE31*Q31+N31*P31)/1000</f>
        <v>1524.610993272428</v>
      </c>
      <c r="AG31">
        <f t="shared" si="1"/>
        <v>0.27023286714972611</v>
      </c>
    </row>
    <row r="32" spans="1:33" x14ac:dyDescent="0.25">
      <c r="A32">
        <v>31</v>
      </c>
      <c r="B32">
        <v>355</v>
      </c>
      <c r="C32">
        <v>205</v>
      </c>
      <c r="D32">
        <v>0.2</v>
      </c>
      <c r="E32">
        <v>9000</v>
      </c>
      <c r="F32">
        <v>110</v>
      </c>
      <c r="G32">
        <f t="shared" si="0"/>
        <v>150</v>
      </c>
      <c r="H32">
        <v>8</v>
      </c>
      <c r="I32">
        <f t="shared" si="2"/>
        <v>13.75</v>
      </c>
      <c r="J32">
        <f>SQRT(12*(1-0.3^2)*I32^2*N32/(4*PI()^2*O32))</f>
        <v>0.28906822465146947</v>
      </c>
      <c r="K32">
        <f t="shared" ref="K32:K34" si="69">H32*I32/200</f>
        <v>0.55000000000000004</v>
      </c>
      <c r="L32">
        <f t="shared" si="64"/>
        <v>4.5</v>
      </c>
      <c r="M32">
        <v>2.5</v>
      </c>
      <c r="N32">
        <f t="shared" si="5"/>
        <v>325</v>
      </c>
      <c r="O32">
        <f>193000*D32+(1-D32)*206000</f>
        <v>203400</v>
      </c>
      <c r="P32">
        <f>H32*I32*H32*4</f>
        <v>3520</v>
      </c>
      <c r="Q32">
        <f>PI()*(M32*H32)^2-PI()*((M32-1)*H32)^2</f>
        <v>804.24771931898704</v>
      </c>
      <c r="R32">
        <f t="shared" ref="R32:R34" si="70">P32+Q32</f>
        <v>4324.247719318987</v>
      </c>
      <c r="S32">
        <f t="shared" si="7"/>
        <v>14118333.707433984</v>
      </c>
      <c r="T32">
        <f t="shared" ref="T32:T34" si="71">SQRT(S32/R32)</f>
        <v>57.139500414724267</v>
      </c>
      <c r="U32">
        <f t="shared" ref="U32:U34" si="72">E32/T32</f>
        <v>157.50925252543496</v>
      </c>
      <c r="V32">
        <f t="shared" ref="V32:V34" si="73">U32/PI()*SQRT(N32/O32)</f>
        <v>2.0041139176677971</v>
      </c>
      <c r="W32">
        <f t="shared" ref="W32:W34" si="74">R32*N32/1000</f>
        <v>1405.3805087786709</v>
      </c>
      <c r="X32">
        <v>329.7</v>
      </c>
      <c r="Y32">
        <f t="shared" si="12"/>
        <v>0.23459838665794633</v>
      </c>
      <c r="Z32" t="str">
        <f t="shared" si="13"/>
        <v>LC-G31</v>
      </c>
      <c r="AA32">
        <f t="shared" si="14"/>
        <v>490</v>
      </c>
      <c r="AB32">
        <f>C32/(0.2+185*C32/193000)</f>
        <v>517.02058150931066</v>
      </c>
      <c r="AC32">
        <f t="shared" si="15"/>
        <v>519.7880493042129</v>
      </c>
      <c r="AD32">
        <f t="shared" si="16"/>
        <v>325.88344850615891</v>
      </c>
      <c r="AE32">
        <f t="shared" si="17"/>
        <v>473.25094511267991</v>
      </c>
      <c r="AF32">
        <f t="shared" ref="AF32:AF34" si="75">(AE32*Q32+N32*P32)/1000</f>
        <v>1524.610993272428</v>
      </c>
      <c r="AG32">
        <f t="shared" si="1"/>
        <v>0.21625188422151626</v>
      </c>
    </row>
    <row r="33" spans="1:33" x14ac:dyDescent="0.25">
      <c r="A33">
        <v>32</v>
      </c>
      <c r="B33">
        <v>355</v>
      </c>
      <c r="C33">
        <v>205</v>
      </c>
      <c r="D33">
        <v>0.2</v>
      </c>
      <c r="E33">
        <v>10000</v>
      </c>
      <c r="F33">
        <v>110</v>
      </c>
      <c r="G33">
        <f t="shared" si="0"/>
        <v>150</v>
      </c>
      <c r="H33">
        <v>8</v>
      </c>
      <c r="I33">
        <f t="shared" si="2"/>
        <v>13.75</v>
      </c>
      <c r="J33">
        <f>SQRT(12*(1-0.3^2)*I33^2*N33/(4*PI()^2*O33))</f>
        <v>0.28906822465146947</v>
      </c>
      <c r="K33">
        <f t="shared" si="69"/>
        <v>0.55000000000000004</v>
      </c>
      <c r="L33">
        <f t="shared" si="64"/>
        <v>5</v>
      </c>
      <c r="M33">
        <v>2.5</v>
      </c>
      <c r="N33">
        <f t="shared" si="5"/>
        <v>325</v>
      </c>
      <c r="O33">
        <f>193000*D33+(1-D33)*206000</f>
        <v>203400</v>
      </c>
      <c r="P33">
        <f>H33*I33*H33*4</f>
        <v>3520</v>
      </c>
      <c r="Q33">
        <f>PI()*(M33*H33)^2-PI()*((M33-1)*H33)^2</f>
        <v>804.24771931898704</v>
      </c>
      <c r="R33">
        <f t="shared" si="70"/>
        <v>4324.247719318987</v>
      </c>
      <c r="S33">
        <f t="shared" si="7"/>
        <v>14118333.707433984</v>
      </c>
      <c r="T33">
        <f t="shared" si="71"/>
        <v>57.139500414724267</v>
      </c>
      <c r="U33">
        <f t="shared" si="72"/>
        <v>175.01028058381661</v>
      </c>
      <c r="V33">
        <f t="shared" si="73"/>
        <v>2.226793241853108</v>
      </c>
      <c r="W33">
        <f t="shared" si="74"/>
        <v>1405.3805087786709</v>
      </c>
      <c r="X33">
        <v>269.2</v>
      </c>
      <c r="Y33">
        <f t="shared" si="12"/>
        <v>0.19154954712865985</v>
      </c>
      <c r="Z33" t="str">
        <f t="shared" si="13"/>
        <v>LC-G32</v>
      </c>
      <c r="AA33">
        <f t="shared" si="14"/>
        <v>490</v>
      </c>
      <c r="AB33">
        <f>C33/(0.2+185*C33/193000)</f>
        <v>517.02058150931066</v>
      </c>
      <c r="AC33">
        <f t="shared" si="15"/>
        <v>519.7880493042129</v>
      </c>
      <c r="AD33">
        <f t="shared" si="16"/>
        <v>325.88344850615891</v>
      </c>
      <c r="AE33">
        <f t="shared" si="17"/>
        <v>473.25094511267991</v>
      </c>
      <c r="AF33">
        <f t="shared" si="75"/>
        <v>1524.610993272428</v>
      </c>
      <c r="AG33">
        <f t="shared" si="1"/>
        <v>0.17656963067161716</v>
      </c>
    </row>
    <row r="34" spans="1:33" x14ac:dyDescent="0.25">
      <c r="A34">
        <v>33</v>
      </c>
      <c r="B34">
        <v>355</v>
      </c>
      <c r="C34">
        <v>205</v>
      </c>
      <c r="D34">
        <v>0.2</v>
      </c>
      <c r="E34">
        <v>12000</v>
      </c>
      <c r="F34">
        <v>110</v>
      </c>
      <c r="G34">
        <f t="shared" si="0"/>
        <v>150</v>
      </c>
      <c r="H34">
        <v>8</v>
      </c>
      <c r="I34">
        <f t="shared" si="2"/>
        <v>13.75</v>
      </c>
      <c r="J34">
        <f t="shared" ref="J34" si="76">SQRT(12*(1-0.3^2)*I34^2*N34/(4*PI()^2*O34))</f>
        <v>0.28906822465146947</v>
      </c>
      <c r="K34">
        <f t="shared" si="69"/>
        <v>0.55000000000000004</v>
      </c>
      <c r="L34">
        <f t="shared" si="64"/>
        <v>6</v>
      </c>
      <c r="M34">
        <v>2.5</v>
      </c>
      <c r="N34">
        <f t="shared" si="5"/>
        <v>325</v>
      </c>
      <c r="O34">
        <f t="shared" ref="O34" si="77">193000*D34+(1-D34)*206000</f>
        <v>203400</v>
      </c>
      <c r="P34">
        <f t="shared" ref="P34" si="78">H34*I34*H34*4</f>
        <v>3520</v>
      </c>
      <c r="Q34">
        <f t="shared" ref="Q34" si="79">PI()*(M34*H34)^2-PI()*((M34-1)*H34)^2</f>
        <v>804.24771931898704</v>
      </c>
      <c r="R34">
        <f t="shared" si="70"/>
        <v>4324.247719318987</v>
      </c>
      <c r="S34">
        <f t="shared" si="7"/>
        <v>14118333.707433984</v>
      </c>
      <c r="T34">
        <f t="shared" si="71"/>
        <v>57.139500414724267</v>
      </c>
      <c r="U34">
        <f t="shared" si="72"/>
        <v>210.01233670057994</v>
      </c>
      <c r="V34">
        <f t="shared" si="73"/>
        <v>2.6721518902237298</v>
      </c>
      <c r="W34">
        <f t="shared" si="74"/>
        <v>1405.3805087786709</v>
      </c>
      <c r="X34">
        <v>188.9</v>
      </c>
      <c r="Y34">
        <f t="shared" si="12"/>
        <v>0.13441199648069779</v>
      </c>
      <c r="Z34" t="str">
        <f t="shared" si="13"/>
        <v>LC-G33</v>
      </c>
      <c r="AA34">
        <f t="shared" si="14"/>
        <v>490</v>
      </c>
      <c r="AB34">
        <f t="shared" ref="AB34" si="80">C34/(0.2+185*C34/193000)</f>
        <v>517.02058150931066</v>
      </c>
      <c r="AC34">
        <f t="shared" si="15"/>
        <v>519.7880493042129</v>
      </c>
      <c r="AD34">
        <f t="shared" si="16"/>
        <v>325.88344850615891</v>
      </c>
      <c r="AE34">
        <f t="shared" si="17"/>
        <v>473.25094511267991</v>
      </c>
      <c r="AF34">
        <f t="shared" si="75"/>
        <v>1524.610993272428</v>
      </c>
      <c r="AG34">
        <f t="shared" ref="AG34" si="81">X34/AF34</f>
        <v>0.12390045777811472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120B6-5405-4CF5-A4FA-CBF222EFE8A9}">
  <dimension ref="A1:AG101"/>
  <sheetViews>
    <sheetView zoomScale="70" zoomScaleNormal="70" workbookViewId="0">
      <selection activeCell="N30" sqref="N30"/>
    </sheetView>
  </sheetViews>
  <sheetFormatPr defaultRowHeight="13.8" x14ac:dyDescent="0.25"/>
  <sheetData>
    <row r="1" spans="1:33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30</v>
      </c>
      <c r="F1" s="1" t="s">
        <v>31</v>
      </c>
      <c r="G1" t="s">
        <v>4</v>
      </c>
      <c r="H1" s="4" t="s">
        <v>5</v>
      </c>
      <c r="I1" s="4" t="s">
        <v>6</v>
      </c>
      <c r="J1" s="6" t="s">
        <v>26</v>
      </c>
      <c r="K1" s="1" t="s">
        <v>25</v>
      </c>
      <c r="L1" s="1" t="s">
        <v>24</v>
      </c>
      <c r="M1" s="1" t="s">
        <v>22</v>
      </c>
      <c r="N1" t="s">
        <v>7</v>
      </c>
      <c r="O1" t="s">
        <v>8</v>
      </c>
      <c r="P1" t="s">
        <v>9</v>
      </c>
      <c r="Q1" t="s">
        <v>10</v>
      </c>
      <c r="R1" t="s">
        <v>11</v>
      </c>
      <c r="S1" t="s">
        <v>28</v>
      </c>
      <c r="T1" t="s">
        <v>23</v>
      </c>
      <c r="U1" t="s">
        <v>29</v>
      </c>
      <c r="V1" s="5" t="s">
        <v>27</v>
      </c>
      <c r="W1" s="2" t="s">
        <v>12</v>
      </c>
      <c r="X1" s="2" t="s">
        <v>13</v>
      </c>
      <c r="Y1" s="3" t="s">
        <v>14</v>
      </c>
      <c r="Z1" s="3" t="s">
        <v>32</v>
      </c>
      <c r="AA1" t="s">
        <v>15</v>
      </c>
      <c r="AB1" t="s">
        <v>16</v>
      </c>
      <c r="AC1" t="s">
        <v>17</v>
      </c>
      <c r="AD1" t="s">
        <v>18</v>
      </c>
      <c r="AE1" t="s">
        <v>19</v>
      </c>
      <c r="AF1" s="2" t="s">
        <v>20</v>
      </c>
      <c r="AG1" s="3" t="s">
        <v>21</v>
      </c>
    </row>
    <row r="2" spans="1:33" x14ac:dyDescent="0.25">
      <c r="A2">
        <v>1</v>
      </c>
      <c r="B2">
        <v>355</v>
      </c>
      <c r="C2">
        <v>205</v>
      </c>
      <c r="D2">
        <v>0.2</v>
      </c>
      <c r="E2">
        <v>1000</v>
      </c>
      <c r="F2">
        <v>110</v>
      </c>
      <c r="G2">
        <f>F2+2*H2*M2</f>
        <v>150</v>
      </c>
      <c r="H2">
        <v>8</v>
      </c>
      <c r="I2">
        <f>F2/H2</f>
        <v>13.75</v>
      </c>
      <c r="J2">
        <f>SQRT(12*(1-0.3^2)*I2^2*N2/(4*PI()^2*O2))</f>
        <v>0.28906822465146947</v>
      </c>
      <c r="K2">
        <f>H2*I2/100</f>
        <v>1.1000000000000001</v>
      </c>
      <c r="L2">
        <f t="shared" ref="L2:L34" si="0">E2/1000</f>
        <v>1</v>
      </c>
      <c r="M2">
        <v>2.5</v>
      </c>
      <c r="N2">
        <f>D2*C2+(1-D2)*B2</f>
        <v>325</v>
      </c>
      <c r="O2">
        <f>193000*D2+(1-D2)*206000</f>
        <v>203400</v>
      </c>
      <c r="P2">
        <f>H2*I2*H2*4</f>
        <v>3520</v>
      </c>
      <c r="Q2">
        <f>PI()*(M2*H2)^2-PI()*((M2-1)*H2)^2</f>
        <v>804.24771931898704</v>
      </c>
      <c r="R2">
        <f>P2+Q2</f>
        <v>4324.247719318987</v>
      </c>
      <c r="S2">
        <f>1/12*H2*(H2*I2)^3*2+(1/12*(H2*I2)*H2^3+(H2*I2)*H2*(G2/2-H2/2)^2)*2+PI()/8*((M2*H2)^4-((M2-1)*H2)^4)*2+1/2*PI()*((M2*H2)^2-((M2-1)*H2)^2)*(-1*((4*((M2*H2)^3-((M2-1)*H2)^3))/(3*PI()*((M2*H2)^2-((M2-1)*H2)^2)))^2+1*((4*((M2*H2)^3-((M2-1)*H2)^3))/(3*PI()*((M2*H2)^2-((M2-1)*H2)^2))+H2*I2/2)^2)*2</f>
        <v>14118333.707433984</v>
      </c>
      <c r="T2">
        <f>SQRT(S2/R2)</f>
        <v>57.139500414724267</v>
      </c>
      <c r="U2">
        <f>E2/T2</f>
        <v>17.50102805838166</v>
      </c>
      <c r="V2">
        <f>U2/PI()*SQRT(N2/O2)</f>
        <v>0.22267932418531081</v>
      </c>
      <c r="W2">
        <f>R2*N2/1000</f>
        <v>1405.3805087786709</v>
      </c>
      <c r="X2">
        <v>1464.8</v>
      </c>
      <c r="Y2">
        <f>X2/W2</f>
        <v>1.0422800023553527</v>
      </c>
      <c r="Z2" t="str">
        <f>"LC-L"&amp;A2</f>
        <v>LC-L1</v>
      </c>
      <c r="AA2">
        <f>IF(B2=235,360,IF(B2=355,490,560))</f>
        <v>490</v>
      </c>
      <c r="AB2">
        <f>C2/(0.2+185*C2/193000)</f>
        <v>517.02058150931066</v>
      </c>
      <c r="AC2">
        <f>B2*(2.769*(AA2/B2)-0.581*(AA2/B2)^2-1.182)/((M2-1)^(0.314*(AA2/B2)-0.32))</f>
        <v>519.7880493042129</v>
      </c>
      <c r="AD2">
        <f>1.673*C2/(M2-1)^0.126</f>
        <v>325.88344850615891</v>
      </c>
      <c r="AE2">
        <f>AC2*(1-((2*M2*H2-D2*H2)/(2*M2*H2-H2)*D2))+AD2*((2*M2*H2-D2*H2)/(2*M2*H2-H2)*D2)</f>
        <v>473.25094511267991</v>
      </c>
      <c r="AF2">
        <f>(AE2*Q2+N2*P2)/1000</f>
        <v>1524.610993272428</v>
      </c>
      <c r="AG2">
        <f t="shared" ref="AG2:AG34" si="1">X2/AF2</f>
        <v>0.96076966941970576</v>
      </c>
    </row>
    <row r="3" spans="1:33" x14ac:dyDescent="0.25">
      <c r="A3">
        <v>2</v>
      </c>
      <c r="B3">
        <v>355</v>
      </c>
      <c r="C3">
        <v>205</v>
      </c>
      <c r="D3">
        <v>0.2</v>
      </c>
      <c r="E3">
        <v>2000</v>
      </c>
      <c r="F3">
        <v>110</v>
      </c>
      <c r="G3">
        <f t="shared" ref="G3:G34" si="2">F3+2*H3*M3</f>
        <v>150</v>
      </c>
      <c r="H3">
        <v>8</v>
      </c>
      <c r="I3">
        <f t="shared" ref="I3:I34" si="3">F3/H3</f>
        <v>13.75</v>
      </c>
      <c r="J3">
        <f>SQRT(12*(1-0.3^2)*I3^2*N3/(4*PI()^2*O3))</f>
        <v>0.28906822465146947</v>
      </c>
      <c r="K3">
        <f t="shared" ref="K3:K12" si="4">H3*I3/100</f>
        <v>1.1000000000000001</v>
      </c>
      <c r="L3">
        <f t="shared" si="0"/>
        <v>2</v>
      </c>
      <c r="M3">
        <v>2.5</v>
      </c>
      <c r="N3">
        <f t="shared" ref="N3:N34" si="5">D3*C3+(1-D3)*B3</f>
        <v>325</v>
      </c>
      <c r="O3">
        <f>193000*D3+(1-D3)*206000</f>
        <v>203400</v>
      </c>
      <c r="P3">
        <f>H3*I3*H3*4</f>
        <v>3520</v>
      </c>
      <c r="Q3">
        <f>PI()*(M3*H3)^2-PI()*((M3-1)*H3)^2</f>
        <v>804.24771931898704</v>
      </c>
      <c r="R3">
        <f t="shared" ref="R3:R12" si="6">P3+Q3</f>
        <v>4324.247719318987</v>
      </c>
      <c r="S3">
        <f t="shared" ref="S3:S34" si="7">1/12*H3*(H3*I3)^3*2+(1/12*(H3*I3)*H3^3+(H3*I3)*H3*(G3/2-H3/2)^2)*2+PI()/8*((M3*H3)^4-((M3-1)*H3)^4)*2+1/2*PI()*((M3*H3)^2-((M3-1)*H3)^2)*(-1*((4*((M3*H3)^3-((M3-1)*H3)^3))/(3*PI()*((M3*H3)^2-((M3-1)*H3)^2)))^2+1*((4*((M3*H3)^3-((M3-1)*H3)^3))/(3*PI()*((M3*H3)^2-((M3-1)*H3)^2))+H3*I3/2)^2)*2</f>
        <v>14118333.707433984</v>
      </c>
      <c r="T3">
        <f t="shared" ref="T3:T12" si="8">SQRT(S3/R3)</f>
        <v>57.139500414724267</v>
      </c>
      <c r="U3">
        <f t="shared" ref="U3:U12" si="9">E3/T3</f>
        <v>35.00205611676332</v>
      </c>
      <c r="V3">
        <f t="shared" ref="V3:V12" si="10">U3/PI()*SQRT(N3/O3)</f>
        <v>0.44535864837062161</v>
      </c>
      <c r="W3">
        <f t="shared" ref="W3:W12" si="11">R3*N3/1000</f>
        <v>1405.3805087786709</v>
      </c>
      <c r="X3">
        <v>1269.3</v>
      </c>
      <c r="Y3">
        <f t="shared" ref="Y3:Y34" si="12">X3/W3</f>
        <v>0.90317176883509642</v>
      </c>
      <c r="Z3" t="str">
        <f t="shared" ref="Z3:Z34" si="13">"LC-L"&amp;A3</f>
        <v>LC-L2</v>
      </c>
      <c r="AA3">
        <f t="shared" ref="AA3:AA34" si="14">IF(B3=235,360,IF(B3=355,490,560))</f>
        <v>490</v>
      </c>
      <c r="AB3">
        <f>C3/(0.2+185*C3/193000)</f>
        <v>517.02058150931066</v>
      </c>
      <c r="AC3">
        <f t="shared" ref="AC3:AC34" si="15">B3*(2.769*(AA3/B3)-0.581*(AA3/B3)^2-1.182)/((M3-1)^(0.314*(AA3/B3)-0.32))</f>
        <v>519.7880493042129</v>
      </c>
      <c r="AD3">
        <f t="shared" ref="AD3:AD34" si="16">1.673*C3/(M3-1)^0.126</f>
        <v>325.88344850615891</v>
      </c>
      <c r="AE3">
        <f t="shared" ref="AE3:AE34" si="17">AC3*(1-((2*M3*H3-D3*H3)/(2*M3*H3-H3)*D3))+AD3*((2*M3*H3-D3*H3)/(2*M3*H3-H3)*D3)</f>
        <v>473.25094511267991</v>
      </c>
      <c r="AF3">
        <f t="shared" ref="AF3:AF12" si="18">(AE3*Q3+N3*P3)/1000</f>
        <v>1524.610993272428</v>
      </c>
      <c r="AG3">
        <f t="shared" si="1"/>
        <v>0.83254023852705661</v>
      </c>
    </row>
    <row r="4" spans="1:33" x14ac:dyDescent="0.25">
      <c r="A4">
        <v>3</v>
      </c>
      <c r="B4">
        <v>355</v>
      </c>
      <c r="C4">
        <v>205</v>
      </c>
      <c r="D4">
        <v>0.2</v>
      </c>
      <c r="E4">
        <v>3000</v>
      </c>
      <c r="F4">
        <v>110</v>
      </c>
      <c r="G4">
        <f t="shared" si="2"/>
        <v>150</v>
      </c>
      <c r="H4">
        <v>8</v>
      </c>
      <c r="I4">
        <f t="shared" si="3"/>
        <v>13.75</v>
      </c>
      <c r="J4">
        <f>SQRT(12*(1-0.3^2)*I4^2*N4/(4*PI()^2*O4))</f>
        <v>0.28906822465146947</v>
      </c>
      <c r="K4">
        <f t="shared" si="4"/>
        <v>1.1000000000000001</v>
      </c>
      <c r="L4">
        <f t="shared" si="0"/>
        <v>3</v>
      </c>
      <c r="M4">
        <v>2.5</v>
      </c>
      <c r="N4">
        <f t="shared" si="5"/>
        <v>325</v>
      </c>
      <c r="O4">
        <f>193000*D4+(1-D4)*206000</f>
        <v>203400</v>
      </c>
      <c r="P4">
        <f>H4*I4*H4*4</f>
        <v>3520</v>
      </c>
      <c r="Q4">
        <f>PI()*(M4*H4)^2-PI()*((M4-1)*H4)^2</f>
        <v>804.24771931898704</v>
      </c>
      <c r="R4">
        <f t="shared" si="6"/>
        <v>4324.247719318987</v>
      </c>
      <c r="S4">
        <f t="shared" si="7"/>
        <v>14118333.707433984</v>
      </c>
      <c r="T4">
        <f t="shared" si="8"/>
        <v>57.139500414724267</v>
      </c>
      <c r="U4">
        <f t="shared" si="9"/>
        <v>52.503084175144984</v>
      </c>
      <c r="V4">
        <f t="shared" si="10"/>
        <v>0.66803797255593245</v>
      </c>
      <c r="W4">
        <f t="shared" si="11"/>
        <v>1405.3805087786709</v>
      </c>
      <c r="X4">
        <v>1111.9000000000001</v>
      </c>
      <c r="Y4">
        <f t="shared" si="12"/>
        <v>0.79117363095229165</v>
      </c>
      <c r="Z4" t="str">
        <f t="shared" si="13"/>
        <v>LC-L3</v>
      </c>
      <c r="AA4">
        <f t="shared" si="14"/>
        <v>490</v>
      </c>
      <c r="AB4">
        <f>C4/(0.2+185*C4/193000)</f>
        <v>517.02058150931066</v>
      </c>
      <c r="AC4">
        <f t="shared" si="15"/>
        <v>519.7880493042129</v>
      </c>
      <c r="AD4">
        <f t="shared" si="16"/>
        <v>325.88344850615891</v>
      </c>
      <c r="AE4">
        <f t="shared" si="17"/>
        <v>473.25094511267991</v>
      </c>
      <c r="AF4">
        <f t="shared" si="18"/>
        <v>1524.610993272428</v>
      </c>
      <c r="AG4">
        <f t="shared" si="1"/>
        <v>0.72930078879558369</v>
      </c>
    </row>
    <row r="5" spans="1:33" x14ac:dyDescent="0.25">
      <c r="A5">
        <v>4</v>
      </c>
      <c r="B5">
        <v>355</v>
      </c>
      <c r="C5">
        <v>205</v>
      </c>
      <c r="D5">
        <v>0.2</v>
      </c>
      <c r="E5">
        <v>4000</v>
      </c>
      <c r="F5">
        <v>110</v>
      </c>
      <c r="G5">
        <f t="shared" si="2"/>
        <v>150</v>
      </c>
      <c r="H5">
        <v>8</v>
      </c>
      <c r="I5">
        <f t="shared" si="3"/>
        <v>13.75</v>
      </c>
      <c r="J5">
        <f t="shared" ref="J5:J12" si="19">SQRT(12*(1-0.3^2)*I5^2*N5/(4*PI()^2*O5))</f>
        <v>0.28906822465146947</v>
      </c>
      <c r="K5">
        <f t="shared" si="4"/>
        <v>1.1000000000000001</v>
      </c>
      <c r="L5">
        <f t="shared" si="0"/>
        <v>4</v>
      </c>
      <c r="M5">
        <v>2.5</v>
      </c>
      <c r="N5">
        <f t="shared" si="5"/>
        <v>325</v>
      </c>
      <c r="O5">
        <f t="shared" ref="O5:O12" si="20">193000*D5+(1-D5)*206000</f>
        <v>203400</v>
      </c>
      <c r="P5">
        <f t="shared" ref="P5:P12" si="21">H5*I5*H5*4</f>
        <v>3520</v>
      </c>
      <c r="Q5">
        <f t="shared" ref="Q5:Q12" si="22">PI()*(M5*H5)^2-PI()*((M5-1)*H5)^2</f>
        <v>804.24771931898704</v>
      </c>
      <c r="R5">
        <f t="shared" si="6"/>
        <v>4324.247719318987</v>
      </c>
      <c r="S5">
        <f t="shared" si="7"/>
        <v>14118333.707433984</v>
      </c>
      <c r="T5">
        <f t="shared" si="8"/>
        <v>57.139500414724267</v>
      </c>
      <c r="U5">
        <f t="shared" si="9"/>
        <v>70.004112233526641</v>
      </c>
      <c r="V5">
        <f t="shared" si="10"/>
        <v>0.89071729674124323</v>
      </c>
      <c r="W5">
        <f t="shared" si="11"/>
        <v>1405.3805087786709</v>
      </c>
      <c r="X5">
        <v>961</v>
      </c>
      <c r="Y5">
        <f t="shared" si="12"/>
        <v>0.68380057500238534</v>
      </c>
      <c r="Z5" t="str">
        <f t="shared" si="13"/>
        <v>LC-L4</v>
      </c>
      <c r="AA5">
        <f t="shared" si="14"/>
        <v>490</v>
      </c>
      <c r="AB5">
        <f t="shared" ref="AB5:AB12" si="23">C5/(0.2+185*C5/193000)</f>
        <v>517.02058150931066</v>
      </c>
      <c r="AC5">
        <f t="shared" si="15"/>
        <v>519.7880493042129</v>
      </c>
      <c r="AD5">
        <f t="shared" si="16"/>
        <v>325.88344850615891</v>
      </c>
      <c r="AE5">
        <f t="shared" si="17"/>
        <v>473.25094511267991</v>
      </c>
      <c r="AF5">
        <f t="shared" si="18"/>
        <v>1524.610993272428</v>
      </c>
      <c r="AG5">
        <f t="shared" si="1"/>
        <v>0.63032472167690967</v>
      </c>
    </row>
    <row r="6" spans="1:33" x14ac:dyDescent="0.25">
      <c r="A6">
        <v>5</v>
      </c>
      <c r="B6">
        <v>355</v>
      </c>
      <c r="C6">
        <v>205</v>
      </c>
      <c r="D6">
        <v>0.2</v>
      </c>
      <c r="E6">
        <v>5000</v>
      </c>
      <c r="F6">
        <v>110</v>
      </c>
      <c r="G6">
        <f t="shared" si="2"/>
        <v>150</v>
      </c>
      <c r="H6">
        <v>8</v>
      </c>
      <c r="I6">
        <f t="shared" si="3"/>
        <v>13.75</v>
      </c>
      <c r="J6">
        <f t="shared" si="19"/>
        <v>0.28906822465146947</v>
      </c>
      <c r="K6">
        <f t="shared" si="4"/>
        <v>1.1000000000000001</v>
      </c>
      <c r="L6">
        <f t="shared" si="0"/>
        <v>5</v>
      </c>
      <c r="M6">
        <v>2.5</v>
      </c>
      <c r="N6">
        <f t="shared" si="5"/>
        <v>325</v>
      </c>
      <c r="O6">
        <f t="shared" si="20"/>
        <v>203400</v>
      </c>
      <c r="P6">
        <f t="shared" si="21"/>
        <v>3520</v>
      </c>
      <c r="Q6">
        <f t="shared" si="22"/>
        <v>804.24771931898704</v>
      </c>
      <c r="R6">
        <f t="shared" si="6"/>
        <v>4324.247719318987</v>
      </c>
      <c r="S6">
        <f t="shared" si="7"/>
        <v>14118333.707433984</v>
      </c>
      <c r="T6">
        <f t="shared" si="8"/>
        <v>57.139500414724267</v>
      </c>
      <c r="U6">
        <f t="shared" si="9"/>
        <v>87.505140291908305</v>
      </c>
      <c r="V6">
        <f t="shared" si="10"/>
        <v>1.113396620926554</v>
      </c>
      <c r="W6">
        <f t="shared" si="11"/>
        <v>1405.3805087786709</v>
      </c>
      <c r="X6">
        <v>799.2</v>
      </c>
      <c r="Y6">
        <f t="shared" si="12"/>
        <v>0.56867161242654152</v>
      </c>
      <c r="Z6" t="str">
        <f t="shared" si="13"/>
        <v>LC-L5</v>
      </c>
      <c r="AA6">
        <f t="shared" si="14"/>
        <v>490</v>
      </c>
      <c r="AB6">
        <f t="shared" si="23"/>
        <v>517.02058150931066</v>
      </c>
      <c r="AC6">
        <f t="shared" si="15"/>
        <v>519.7880493042129</v>
      </c>
      <c r="AD6">
        <f t="shared" si="16"/>
        <v>325.88344850615891</v>
      </c>
      <c r="AE6">
        <f t="shared" si="17"/>
        <v>473.25094511267991</v>
      </c>
      <c r="AF6">
        <f t="shared" si="18"/>
        <v>1524.610993272428</v>
      </c>
      <c r="AG6">
        <f t="shared" si="1"/>
        <v>0.52419928986908038</v>
      </c>
    </row>
    <row r="7" spans="1:33" x14ac:dyDescent="0.25">
      <c r="A7">
        <v>6</v>
      </c>
      <c r="B7">
        <v>355</v>
      </c>
      <c r="C7">
        <v>205</v>
      </c>
      <c r="D7">
        <v>0.2</v>
      </c>
      <c r="E7">
        <v>6000</v>
      </c>
      <c r="F7">
        <v>110</v>
      </c>
      <c r="G7">
        <f t="shared" si="2"/>
        <v>150</v>
      </c>
      <c r="H7">
        <v>8</v>
      </c>
      <c r="I7">
        <f t="shared" si="3"/>
        <v>13.75</v>
      </c>
      <c r="J7">
        <f t="shared" si="19"/>
        <v>0.28906822465146947</v>
      </c>
      <c r="K7">
        <f t="shared" si="4"/>
        <v>1.1000000000000001</v>
      </c>
      <c r="L7">
        <f t="shared" si="0"/>
        <v>6</v>
      </c>
      <c r="M7">
        <v>2.5</v>
      </c>
      <c r="N7">
        <f t="shared" si="5"/>
        <v>325</v>
      </c>
      <c r="O7">
        <f t="shared" si="20"/>
        <v>203400</v>
      </c>
      <c r="P7">
        <f t="shared" si="21"/>
        <v>3520</v>
      </c>
      <c r="Q7">
        <f t="shared" si="22"/>
        <v>804.24771931898704</v>
      </c>
      <c r="R7">
        <f t="shared" si="6"/>
        <v>4324.247719318987</v>
      </c>
      <c r="S7">
        <f t="shared" si="7"/>
        <v>14118333.707433984</v>
      </c>
      <c r="T7">
        <f t="shared" si="8"/>
        <v>57.139500414724267</v>
      </c>
      <c r="U7">
        <f t="shared" si="9"/>
        <v>105.00616835028997</v>
      </c>
      <c r="V7">
        <f t="shared" si="10"/>
        <v>1.3360759451118649</v>
      </c>
      <c r="W7">
        <f t="shared" si="11"/>
        <v>1405.3805087786709</v>
      </c>
      <c r="X7">
        <v>629.4</v>
      </c>
      <c r="Y7">
        <f t="shared" si="12"/>
        <v>0.44785024131789941</v>
      </c>
      <c r="Z7" t="str">
        <f t="shared" si="13"/>
        <v>LC-L6</v>
      </c>
      <c r="AA7">
        <f t="shared" si="14"/>
        <v>490</v>
      </c>
      <c r="AB7">
        <f t="shared" si="23"/>
        <v>517.02058150931066</v>
      </c>
      <c r="AC7">
        <f t="shared" si="15"/>
        <v>519.7880493042129</v>
      </c>
      <c r="AD7">
        <f t="shared" si="16"/>
        <v>325.88344850615891</v>
      </c>
      <c r="AE7">
        <f t="shared" si="17"/>
        <v>473.25094511267991</v>
      </c>
      <c r="AF7">
        <f t="shared" si="18"/>
        <v>1524.610993272428</v>
      </c>
      <c r="AG7">
        <f t="shared" si="1"/>
        <v>0.41282661792242137</v>
      </c>
    </row>
    <row r="8" spans="1:33" x14ac:dyDescent="0.25">
      <c r="A8">
        <v>7</v>
      </c>
      <c r="B8">
        <v>355</v>
      </c>
      <c r="C8">
        <v>205</v>
      </c>
      <c r="D8">
        <v>0.2</v>
      </c>
      <c r="E8">
        <v>7000</v>
      </c>
      <c r="F8">
        <v>110</v>
      </c>
      <c r="G8">
        <f t="shared" si="2"/>
        <v>150</v>
      </c>
      <c r="H8">
        <v>8</v>
      </c>
      <c r="I8">
        <f t="shared" si="3"/>
        <v>13.75</v>
      </c>
      <c r="J8">
        <f t="shared" si="19"/>
        <v>0.28906822465146947</v>
      </c>
      <c r="K8">
        <f t="shared" si="4"/>
        <v>1.1000000000000001</v>
      </c>
      <c r="L8">
        <f t="shared" si="0"/>
        <v>7</v>
      </c>
      <c r="M8">
        <v>2.5</v>
      </c>
      <c r="N8">
        <f t="shared" si="5"/>
        <v>325</v>
      </c>
      <c r="O8">
        <f t="shared" si="20"/>
        <v>203400</v>
      </c>
      <c r="P8">
        <f t="shared" si="21"/>
        <v>3520</v>
      </c>
      <c r="Q8">
        <f t="shared" si="22"/>
        <v>804.24771931898704</v>
      </c>
      <c r="R8">
        <f t="shared" si="6"/>
        <v>4324.247719318987</v>
      </c>
      <c r="S8">
        <f t="shared" si="7"/>
        <v>14118333.707433984</v>
      </c>
      <c r="T8">
        <f t="shared" si="8"/>
        <v>57.139500414724267</v>
      </c>
      <c r="U8">
        <f t="shared" si="9"/>
        <v>122.50719640867163</v>
      </c>
      <c r="V8">
        <f t="shared" si="10"/>
        <v>1.5587552692971756</v>
      </c>
      <c r="W8">
        <f t="shared" si="11"/>
        <v>1405.3805087786709</v>
      </c>
      <c r="X8">
        <v>492.9</v>
      </c>
      <c r="Y8">
        <f t="shared" si="12"/>
        <v>0.35072352072702989</v>
      </c>
      <c r="Z8" t="str">
        <f t="shared" si="13"/>
        <v>LC-L7</v>
      </c>
      <c r="AA8">
        <f t="shared" si="14"/>
        <v>490</v>
      </c>
      <c r="AB8">
        <f t="shared" si="23"/>
        <v>517.02058150931066</v>
      </c>
      <c r="AC8">
        <f t="shared" si="15"/>
        <v>519.7880493042129</v>
      </c>
      <c r="AD8">
        <f t="shared" si="16"/>
        <v>325.88344850615891</v>
      </c>
      <c r="AE8">
        <f t="shared" si="17"/>
        <v>473.25094511267991</v>
      </c>
      <c r="AF8">
        <f t="shared" si="18"/>
        <v>1524.610993272428</v>
      </c>
      <c r="AG8">
        <f t="shared" si="1"/>
        <v>0.32329558305364076</v>
      </c>
    </row>
    <row r="9" spans="1:33" x14ac:dyDescent="0.25">
      <c r="A9">
        <v>8</v>
      </c>
      <c r="B9">
        <v>355</v>
      </c>
      <c r="C9">
        <v>205</v>
      </c>
      <c r="D9">
        <v>0.2</v>
      </c>
      <c r="E9">
        <v>8000</v>
      </c>
      <c r="F9">
        <v>110</v>
      </c>
      <c r="G9">
        <f t="shared" si="2"/>
        <v>150</v>
      </c>
      <c r="H9">
        <v>8</v>
      </c>
      <c r="I9">
        <f t="shared" si="3"/>
        <v>13.75</v>
      </c>
      <c r="J9">
        <f t="shared" si="19"/>
        <v>0.28906822465146947</v>
      </c>
      <c r="K9">
        <f t="shared" si="4"/>
        <v>1.1000000000000001</v>
      </c>
      <c r="L9">
        <f t="shared" si="0"/>
        <v>8</v>
      </c>
      <c r="M9">
        <v>2.5</v>
      </c>
      <c r="N9">
        <f t="shared" si="5"/>
        <v>325</v>
      </c>
      <c r="O9">
        <f t="shared" si="20"/>
        <v>203400</v>
      </c>
      <c r="P9">
        <f t="shared" si="21"/>
        <v>3520</v>
      </c>
      <c r="Q9">
        <f t="shared" si="22"/>
        <v>804.24771931898704</v>
      </c>
      <c r="R9">
        <f t="shared" si="6"/>
        <v>4324.247719318987</v>
      </c>
      <c r="S9">
        <f t="shared" si="7"/>
        <v>14118333.707433984</v>
      </c>
      <c r="T9">
        <f t="shared" si="8"/>
        <v>57.139500414724267</v>
      </c>
      <c r="U9">
        <f t="shared" si="9"/>
        <v>140.00822446705328</v>
      </c>
      <c r="V9">
        <f t="shared" si="10"/>
        <v>1.7814345934824865</v>
      </c>
      <c r="W9">
        <f t="shared" si="11"/>
        <v>1405.3805087786709</v>
      </c>
      <c r="X9">
        <v>390.3</v>
      </c>
      <c r="Y9">
        <f t="shared" si="12"/>
        <v>0.27771838129389281</v>
      </c>
      <c r="Z9" t="str">
        <f t="shared" si="13"/>
        <v>LC-L8</v>
      </c>
      <c r="AA9">
        <f t="shared" si="14"/>
        <v>490</v>
      </c>
      <c r="AB9">
        <f t="shared" si="23"/>
        <v>517.02058150931066</v>
      </c>
      <c r="AC9">
        <f t="shared" si="15"/>
        <v>519.7880493042129</v>
      </c>
      <c r="AD9">
        <f t="shared" si="16"/>
        <v>325.88344850615891</v>
      </c>
      <c r="AE9">
        <f t="shared" si="17"/>
        <v>473.25094511267991</v>
      </c>
      <c r="AF9">
        <f t="shared" si="18"/>
        <v>1524.610993272428</v>
      </c>
      <c r="AG9">
        <f t="shared" si="1"/>
        <v>0.25599972827315076</v>
      </c>
    </row>
    <row r="10" spans="1:33" x14ac:dyDescent="0.25">
      <c r="A10">
        <v>9</v>
      </c>
      <c r="B10">
        <v>355</v>
      </c>
      <c r="C10">
        <v>205</v>
      </c>
      <c r="D10">
        <v>0.2</v>
      </c>
      <c r="E10">
        <v>9000</v>
      </c>
      <c r="F10">
        <v>110</v>
      </c>
      <c r="G10">
        <f t="shared" si="2"/>
        <v>150</v>
      </c>
      <c r="H10">
        <v>8</v>
      </c>
      <c r="I10">
        <f t="shared" si="3"/>
        <v>13.75</v>
      </c>
      <c r="J10">
        <f t="shared" si="19"/>
        <v>0.28906822465146947</v>
      </c>
      <c r="K10">
        <f t="shared" si="4"/>
        <v>1.1000000000000001</v>
      </c>
      <c r="L10">
        <f t="shared" si="0"/>
        <v>9</v>
      </c>
      <c r="M10">
        <v>2.5</v>
      </c>
      <c r="N10">
        <f t="shared" si="5"/>
        <v>325</v>
      </c>
      <c r="O10">
        <f t="shared" si="20"/>
        <v>203400</v>
      </c>
      <c r="P10">
        <f t="shared" si="21"/>
        <v>3520</v>
      </c>
      <c r="Q10">
        <f t="shared" si="22"/>
        <v>804.24771931898704</v>
      </c>
      <c r="R10">
        <f t="shared" si="6"/>
        <v>4324.247719318987</v>
      </c>
      <c r="S10">
        <f t="shared" si="7"/>
        <v>14118333.707433984</v>
      </c>
      <c r="T10">
        <f t="shared" si="8"/>
        <v>57.139500414724267</v>
      </c>
      <c r="U10">
        <f t="shared" si="9"/>
        <v>157.50925252543496</v>
      </c>
      <c r="V10">
        <f t="shared" si="10"/>
        <v>2.0041139176677971</v>
      </c>
      <c r="W10">
        <f t="shared" si="11"/>
        <v>1405.3805087786709</v>
      </c>
      <c r="X10">
        <v>314.8</v>
      </c>
      <c r="Y10">
        <f t="shared" si="12"/>
        <v>0.22399627576560968</v>
      </c>
      <c r="Z10" t="str">
        <f t="shared" si="13"/>
        <v>LC-L9</v>
      </c>
      <c r="AA10">
        <f t="shared" si="14"/>
        <v>490</v>
      </c>
      <c r="AB10">
        <f t="shared" si="23"/>
        <v>517.02058150931066</v>
      </c>
      <c r="AC10">
        <f t="shared" si="15"/>
        <v>519.7880493042129</v>
      </c>
      <c r="AD10">
        <f t="shared" si="16"/>
        <v>325.88344850615891</v>
      </c>
      <c r="AE10">
        <f t="shared" si="17"/>
        <v>473.25094511267991</v>
      </c>
      <c r="AF10">
        <f t="shared" si="18"/>
        <v>1524.610993272428</v>
      </c>
      <c r="AG10">
        <f t="shared" si="1"/>
        <v>0.20647889946294606</v>
      </c>
    </row>
    <row r="11" spans="1:33" x14ac:dyDescent="0.25">
      <c r="A11">
        <v>10</v>
      </c>
      <c r="B11">
        <v>355</v>
      </c>
      <c r="C11">
        <v>205</v>
      </c>
      <c r="D11">
        <v>0.2</v>
      </c>
      <c r="E11">
        <v>10000</v>
      </c>
      <c r="F11">
        <v>110</v>
      </c>
      <c r="G11">
        <f t="shared" si="2"/>
        <v>150</v>
      </c>
      <c r="H11">
        <v>8</v>
      </c>
      <c r="I11">
        <f t="shared" si="3"/>
        <v>13.75</v>
      </c>
      <c r="J11">
        <f t="shared" si="19"/>
        <v>0.28906822465146947</v>
      </c>
      <c r="K11">
        <f t="shared" si="4"/>
        <v>1.1000000000000001</v>
      </c>
      <c r="L11">
        <f t="shared" si="0"/>
        <v>10</v>
      </c>
      <c r="M11">
        <v>2.5</v>
      </c>
      <c r="N11">
        <f t="shared" si="5"/>
        <v>325</v>
      </c>
      <c r="O11">
        <f t="shared" si="20"/>
        <v>203400</v>
      </c>
      <c r="P11">
        <f t="shared" si="21"/>
        <v>3520</v>
      </c>
      <c r="Q11">
        <f t="shared" si="22"/>
        <v>804.24771931898704</v>
      </c>
      <c r="R11">
        <f t="shared" si="6"/>
        <v>4324.247719318987</v>
      </c>
      <c r="S11">
        <f t="shared" si="7"/>
        <v>14118333.707433984</v>
      </c>
      <c r="T11">
        <f t="shared" si="8"/>
        <v>57.139500414724267</v>
      </c>
      <c r="U11">
        <f t="shared" si="9"/>
        <v>175.01028058381661</v>
      </c>
      <c r="V11">
        <f t="shared" si="10"/>
        <v>2.226793241853108</v>
      </c>
      <c r="W11">
        <f t="shared" si="11"/>
        <v>1405.3805087786709</v>
      </c>
      <c r="X11">
        <v>258.7</v>
      </c>
      <c r="Y11">
        <f t="shared" si="12"/>
        <v>0.18407826092936219</v>
      </c>
      <c r="Z11" t="str">
        <f t="shared" si="13"/>
        <v>LC-L10</v>
      </c>
      <c r="AA11">
        <f t="shared" si="14"/>
        <v>490</v>
      </c>
      <c r="AB11">
        <f t="shared" si="23"/>
        <v>517.02058150931066</v>
      </c>
      <c r="AC11">
        <f t="shared" si="15"/>
        <v>519.7880493042129</v>
      </c>
      <c r="AD11">
        <f t="shared" si="16"/>
        <v>325.88344850615891</v>
      </c>
      <c r="AE11">
        <f t="shared" si="17"/>
        <v>473.25094511267991</v>
      </c>
      <c r="AF11">
        <f t="shared" si="18"/>
        <v>1524.610993272428</v>
      </c>
      <c r="AG11">
        <f t="shared" si="1"/>
        <v>0.16968262798940326</v>
      </c>
    </row>
    <row r="12" spans="1:33" x14ac:dyDescent="0.25">
      <c r="A12">
        <v>11</v>
      </c>
      <c r="B12">
        <v>355</v>
      </c>
      <c r="C12">
        <v>205</v>
      </c>
      <c r="D12">
        <v>0.2</v>
      </c>
      <c r="E12">
        <v>12000</v>
      </c>
      <c r="F12">
        <v>110</v>
      </c>
      <c r="G12">
        <f t="shared" si="2"/>
        <v>150</v>
      </c>
      <c r="H12">
        <v>8</v>
      </c>
      <c r="I12">
        <f t="shared" si="3"/>
        <v>13.75</v>
      </c>
      <c r="J12">
        <f t="shared" si="19"/>
        <v>0.28906822465146947</v>
      </c>
      <c r="K12">
        <f t="shared" si="4"/>
        <v>1.1000000000000001</v>
      </c>
      <c r="L12">
        <f t="shared" si="0"/>
        <v>12</v>
      </c>
      <c r="M12">
        <v>2.5</v>
      </c>
      <c r="N12">
        <f t="shared" si="5"/>
        <v>325</v>
      </c>
      <c r="O12">
        <f t="shared" si="20"/>
        <v>203400</v>
      </c>
      <c r="P12">
        <f t="shared" si="21"/>
        <v>3520</v>
      </c>
      <c r="Q12">
        <f t="shared" si="22"/>
        <v>804.24771931898704</v>
      </c>
      <c r="R12">
        <f t="shared" si="6"/>
        <v>4324.247719318987</v>
      </c>
      <c r="S12">
        <f t="shared" si="7"/>
        <v>14118333.707433984</v>
      </c>
      <c r="T12">
        <f t="shared" si="8"/>
        <v>57.139500414724267</v>
      </c>
      <c r="U12">
        <f t="shared" si="9"/>
        <v>210.01233670057994</v>
      </c>
      <c r="V12">
        <f t="shared" si="10"/>
        <v>2.6721518902237298</v>
      </c>
      <c r="W12">
        <f t="shared" si="11"/>
        <v>1405.3805087786709</v>
      </c>
      <c r="X12">
        <v>183</v>
      </c>
      <c r="Y12">
        <f t="shared" si="12"/>
        <v>0.13021384518775911</v>
      </c>
      <c r="Z12" t="str">
        <f t="shared" si="13"/>
        <v>LC-L11</v>
      </c>
      <c r="AA12">
        <f t="shared" si="14"/>
        <v>490</v>
      </c>
      <c r="AB12">
        <f t="shared" si="23"/>
        <v>517.02058150931066</v>
      </c>
      <c r="AC12">
        <f t="shared" si="15"/>
        <v>519.7880493042129</v>
      </c>
      <c r="AD12">
        <f t="shared" si="16"/>
        <v>325.88344850615891</v>
      </c>
      <c r="AE12">
        <f t="shared" si="17"/>
        <v>473.25094511267991</v>
      </c>
      <c r="AF12">
        <f t="shared" si="18"/>
        <v>1524.610993272428</v>
      </c>
      <c r="AG12">
        <f t="shared" si="1"/>
        <v>0.12003061817572785</v>
      </c>
    </row>
    <row r="13" spans="1:33" x14ac:dyDescent="0.25">
      <c r="A13">
        <v>12</v>
      </c>
      <c r="B13">
        <v>355</v>
      </c>
      <c r="C13">
        <v>205</v>
      </c>
      <c r="D13">
        <v>0.2</v>
      </c>
      <c r="E13">
        <v>1000</v>
      </c>
      <c r="F13">
        <v>110</v>
      </c>
      <c r="G13">
        <f t="shared" si="2"/>
        <v>150</v>
      </c>
      <c r="H13">
        <v>8</v>
      </c>
      <c r="I13">
        <f t="shared" si="3"/>
        <v>13.75</v>
      </c>
      <c r="J13">
        <f>SQRT(12*(1-0.3^2)*I13^2*N13/(4*PI()^2*O13))</f>
        <v>0.28906822465146947</v>
      </c>
      <c r="K13">
        <f>H13*I13/200</f>
        <v>0.55000000000000004</v>
      </c>
      <c r="L13">
        <f t="shared" si="0"/>
        <v>1</v>
      </c>
      <c r="M13">
        <v>2.5</v>
      </c>
      <c r="N13">
        <f t="shared" si="5"/>
        <v>325</v>
      </c>
      <c r="O13">
        <f>193000*D13+(1-D13)*206000</f>
        <v>203400</v>
      </c>
      <c r="P13">
        <f>H13*I13*H13*4</f>
        <v>3520</v>
      </c>
      <c r="Q13">
        <f>PI()*(M13*H13)^2-PI()*((M13-1)*H13)^2</f>
        <v>804.24771931898704</v>
      </c>
      <c r="R13">
        <f>P13+Q13</f>
        <v>4324.247719318987</v>
      </c>
      <c r="S13">
        <f t="shared" si="7"/>
        <v>14118333.707433984</v>
      </c>
      <c r="T13">
        <f>SQRT(S13/R13)</f>
        <v>57.139500414724267</v>
      </c>
      <c r="U13">
        <f>E13/T13</f>
        <v>17.50102805838166</v>
      </c>
      <c r="V13">
        <f>U13/PI()*SQRT(N13/O13)</f>
        <v>0.22267932418531081</v>
      </c>
      <c r="W13">
        <f>R13*N13/1000</f>
        <v>1405.3805087786709</v>
      </c>
      <c r="X13">
        <v>1484.1</v>
      </c>
      <c r="Y13">
        <f t="shared" si="12"/>
        <v>1.0560129379407284</v>
      </c>
      <c r="Z13" t="str">
        <f t="shared" si="13"/>
        <v>LC-L12</v>
      </c>
      <c r="AA13">
        <f t="shared" si="14"/>
        <v>490</v>
      </c>
      <c r="AB13">
        <f>C13/(0.2+185*C13/193000)</f>
        <v>517.02058150931066</v>
      </c>
      <c r="AC13">
        <f t="shared" si="15"/>
        <v>519.7880493042129</v>
      </c>
      <c r="AD13">
        <f t="shared" si="16"/>
        <v>325.88344850615891</v>
      </c>
      <c r="AE13">
        <f t="shared" si="17"/>
        <v>473.25094511267991</v>
      </c>
      <c r="AF13">
        <f>(AE13*Q13+N13*P13)/1000</f>
        <v>1524.610993272428</v>
      </c>
      <c r="AG13">
        <f t="shared" si="1"/>
        <v>0.97342863625463227</v>
      </c>
    </row>
    <row r="14" spans="1:33" x14ac:dyDescent="0.25">
      <c r="A14">
        <v>13</v>
      </c>
      <c r="B14">
        <v>355</v>
      </c>
      <c r="C14">
        <v>205</v>
      </c>
      <c r="D14">
        <v>0.2</v>
      </c>
      <c r="E14">
        <v>2000</v>
      </c>
      <c r="F14">
        <v>110</v>
      </c>
      <c r="G14">
        <f t="shared" si="2"/>
        <v>150</v>
      </c>
      <c r="H14">
        <v>8</v>
      </c>
      <c r="I14">
        <f t="shared" si="3"/>
        <v>13.75</v>
      </c>
      <c r="J14">
        <f>SQRT(12*(1-0.3^2)*I14^2*N14/(4*PI()^2*O14))</f>
        <v>0.28906822465146947</v>
      </c>
      <c r="K14">
        <f t="shared" ref="K14:K21" si="24">H14*I14/200</f>
        <v>0.55000000000000004</v>
      </c>
      <c r="L14">
        <f t="shared" si="0"/>
        <v>2</v>
      </c>
      <c r="M14">
        <v>2.5</v>
      </c>
      <c r="N14">
        <f t="shared" si="5"/>
        <v>325</v>
      </c>
      <c r="O14">
        <f>193000*D14+(1-D14)*206000</f>
        <v>203400</v>
      </c>
      <c r="P14">
        <f>H14*I14*H14*4</f>
        <v>3520</v>
      </c>
      <c r="Q14">
        <f>PI()*(M14*H14)^2-PI()*((M14-1)*H14)^2</f>
        <v>804.24771931898704</v>
      </c>
      <c r="R14">
        <f t="shared" ref="R14:R21" si="25">P14+Q14</f>
        <v>4324.247719318987</v>
      </c>
      <c r="S14">
        <f t="shared" si="7"/>
        <v>14118333.707433984</v>
      </c>
      <c r="T14">
        <f t="shared" ref="T14:T21" si="26">SQRT(S14/R14)</f>
        <v>57.139500414724267</v>
      </c>
      <c r="U14">
        <f t="shared" ref="U14:U21" si="27">E14/T14</f>
        <v>35.00205611676332</v>
      </c>
      <c r="V14">
        <f t="shared" ref="V14:V21" si="28">U14/PI()*SQRT(N14/O14)</f>
        <v>0.44535864837062161</v>
      </c>
      <c r="W14">
        <f t="shared" ref="W14:W21" si="29">R14*N14/1000</f>
        <v>1405.3805087786709</v>
      </c>
      <c r="X14">
        <v>1277.2</v>
      </c>
      <c r="Y14">
        <f t="shared" si="12"/>
        <v>0.90879302226123471</v>
      </c>
      <c r="Z14" t="str">
        <f t="shared" si="13"/>
        <v>LC-L13</v>
      </c>
      <c r="AA14">
        <f t="shared" si="14"/>
        <v>490</v>
      </c>
      <c r="AB14">
        <f>C14/(0.2+185*C14/193000)</f>
        <v>517.02058150931066</v>
      </c>
      <c r="AC14">
        <f t="shared" si="15"/>
        <v>519.7880493042129</v>
      </c>
      <c r="AD14">
        <f t="shared" si="16"/>
        <v>325.88344850615891</v>
      </c>
      <c r="AE14">
        <f t="shared" si="17"/>
        <v>473.25094511267991</v>
      </c>
      <c r="AF14">
        <f t="shared" ref="AF14:AF21" si="30">(AE14*Q14+N14*P14)/1000</f>
        <v>1524.610993272428</v>
      </c>
      <c r="AG14">
        <f t="shared" si="1"/>
        <v>0.83772188816415094</v>
      </c>
    </row>
    <row r="15" spans="1:33" x14ac:dyDescent="0.25">
      <c r="A15">
        <v>14</v>
      </c>
      <c r="B15">
        <v>355</v>
      </c>
      <c r="C15">
        <v>205</v>
      </c>
      <c r="D15">
        <v>0.2</v>
      </c>
      <c r="E15">
        <v>3000</v>
      </c>
      <c r="F15">
        <v>110</v>
      </c>
      <c r="G15">
        <f t="shared" si="2"/>
        <v>150</v>
      </c>
      <c r="H15">
        <v>8</v>
      </c>
      <c r="I15">
        <f t="shared" si="3"/>
        <v>13.75</v>
      </c>
      <c r="J15">
        <f>SQRT(12*(1-0.3^2)*I15^2*N15/(4*PI()^2*O15))</f>
        <v>0.28906822465146947</v>
      </c>
      <c r="K15">
        <f t="shared" si="24"/>
        <v>0.55000000000000004</v>
      </c>
      <c r="L15">
        <f t="shared" si="0"/>
        <v>3</v>
      </c>
      <c r="M15">
        <v>2.5</v>
      </c>
      <c r="N15">
        <f t="shared" si="5"/>
        <v>325</v>
      </c>
      <c r="O15">
        <f>193000*D15+(1-D15)*206000</f>
        <v>203400</v>
      </c>
      <c r="P15">
        <f>H15*I15*H15*4</f>
        <v>3520</v>
      </c>
      <c r="Q15">
        <f>PI()*(M15*H15)^2-PI()*((M15-1)*H15)^2</f>
        <v>804.24771931898704</v>
      </c>
      <c r="R15">
        <f t="shared" si="25"/>
        <v>4324.247719318987</v>
      </c>
      <c r="S15">
        <f t="shared" si="7"/>
        <v>14118333.707433984</v>
      </c>
      <c r="T15">
        <f t="shared" si="26"/>
        <v>57.139500414724267</v>
      </c>
      <c r="U15">
        <f t="shared" si="27"/>
        <v>52.503084175144984</v>
      </c>
      <c r="V15">
        <f t="shared" si="28"/>
        <v>0.66803797255593245</v>
      </c>
      <c r="W15">
        <f t="shared" si="29"/>
        <v>1405.3805087786709</v>
      </c>
      <c r="X15">
        <v>1116.5999999999999</v>
      </c>
      <c r="Y15">
        <f t="shared" si="12"/>
        <v>0.79451792096531049</v>
      </c>
      <c r="Z15" t="str">
        <f t="shared" si="13"/>
        <v>LC-L14</v>
      </c>
      <c r="AA15">
        <f t="shared" si="14"/>
        <v>490</v>
      </c>
      <c r="AB15">
        <f>C15/(0.2+185*C15/193000)</f>
        <v>517.02058150931066</v>
      </c>
      <c r="AC15">
        <f t="shared" si="15"/>
        <v>519.7880493042129</v>
      </c>
      <c r="AD15">
        <f t="shared" si="16"/>
        <v>325.88344850615891</v>
      </c>
      <c r="AE15">
        <f t="shared" si="17"/>
        <v>473.25094511267991</v>
      </c>
      <c r="AF15">
        <f t="shared" si="30"/>
        <v>1524.610993272428</v>
      </c>
      <c r="AG15">
        <f t="shared" si="1"/>
        <v>0.73238354237714598</v>
      </c>
    </row>
    <row r="16" spans="1:33" x14ac:dyDescent="0.25">
      <c r="A16">
        <v>15</v>
      </c>
      <c r="B16">
        <v>355</v>
      </c>
      <c r="C16">
        <v>205</v>
      </c>
      <c r="D16">
        <v>0.2</v>
      </c>
      <c r="E16">
        <v>4000</v>
      </c>
      <c r="F16">
        <v>110</v>
      </c>
      <c r="G16">
        <f t="shared" si="2"/>
        <v>150</v>
      </c>
      <c r="H16">
        <v>8</v>
      </c>
      <c r="I16">
        <f t="shared" si="3"/>
        <v>13.75</v>
      </c>
      <c r="J16">
        <f t="shared" ref="J16:J21" si="31">SQRT(12*(1-0.3^2)*I16^2*N16/(4*PI()^2*O16))</f>
        <v>0.28906822465146947</v>
      </c>
      <c r="K16">
        <f t="shared" si="24"/>
        <v>0.55000000000000004</v>
      </c>
      <c r="L16">
        <f t="shared" si="0"/>
        <v>4</v>
      </c>
      <c r="M16">
        <v>2.5</v>
      </c>
      <c r="N16">
        <f t="shared" si="5"/>
        <v>325</v>
      </c>
      <c r="O16">
        <f t="shared" ref="O16:O21" si="32">193000*D16+(1-D16)*206000</f>
        <v>203400</v>
      </c>
      <c r="P16">
        <f t="shared" ref="P16:P21" si="33">H16*I16*H16*4</f>
        <v>3520</v>
      </c>
      <c r="Q16">
        <f t="shared" ref="Q16:Q21" si="34">PI()*(M16*H16)^2-PI()*((M16-1)*H16)^2</f>
        <v>804.24771931898704</v>
      </c>
      <c r="R16">
        <f t="shared" si="25"/>
        <v>4324.247719318987</v>
      </c>
      <c r="S16">
        <f t="shared" si="7"/>
        <v>14118333.707433984</v>
      </c>
      <c r="T16">
        <f t="shared" si="26"/>
        <v>57.139500414724267</v>
      </c>
      <c r="U16">
        <f t="shared" si="27"/>
        <v>70.004112233526641</v>
      </c>
      <c r="V16">
        <f t="shared" si="28"/>
        <v>0.89071729674124323</v>
      </c>
      <c r="W16">
        <f t="shared" si="29"/>
        <v>1405.3805087786709</v>
      </c>
      <c r="X16">
        <v>962.3</v>
      </c>
      <c r="Y16">
        <f t="shared" si="12"/>
        <v>0.68472559138896505</v>
      </c>
      <c r="Z16" t="str">
        <f t="shared" si="13"/>
        <v>LC-L15</v>
      </c>
      <c r="AA16">
        <f t="shared" si="14"/>
        <v>490</v>
      </c>
      <c r="AB16">
        <f t="shared" ref="AB16:AB21" si="35">C16/(0.2+185*C16/193000)</f>
        <v>517.02058150931066</v>
      </c>
      <c r="AC16">
        <f t="shared" si="15"/>
        <v>519.7880493042129</v>
      </c>
      <c r="AD16">
        <f t="shared" si="16"/>
        <v>325.88344850615891</v>
      </c>
      <c r="AE16">
        <f t="shared" si="17"/>
        <v>473.25094511267991</v>
      </c>
      <c r="AF16">
        <f t="shared" si="30"/>
        <v>1524.610993272428</v>
      </c>
      <c r="AG16">
        <f t="shared" si="1"/>
        <v>0.6311773981994695</v>
      </c>
    </row>
    <row r="17" spans="1:33" x14ac:dyDescent="0.25">
      <c r="A17">
        <v>16</v>
      </c>
      <c r="B17">
        <v>355</v>
      </c>
      <c r="C17">
        <v>205</v>
      </c>
      <c r="D17">
        <v>0.2</v>
      </c>
      <c r="E17">
        <v>5000</v>
      </c>
      <c r="F17">
        <v>110</v>
      </c>
      <c r="G17">
        <f t="shared" si="2"/>
        <v>150</v>
      </c>
      <c r="H17">
        <v>8</v>
      </c>
      <c r="I17">
        <f t="shared" si="3"/>
        <v>13.75</v>
      </c>
      <c r="J17">
        <f t="shared" si="31"/>
        <v>0.28906822465146947</v>
      </c>
      <c r="K17">
        <f t="shared" si="24"/>
        <v>0.55000000000000004</v>
      </c>
      <c r="L17">
        <f t="shared" si="0"/>
        <v>5</v>
      </c>
      <c r="M17">
        <v>2.5</v>
      </c>
      <c r="N17">
        <f t="shared" si="5"/>
        <v>325</v>
      </c>
      <c r="O17">
        <f t="shared" si="32"/>
        <v>203400</v>
      </c>
      <c r="P17">
        <f t="shared" si="33"/>
        <v>3520</v>
      </c>
      <c r="Q17">
        <f t="shared" si="34"/>
        <v>804.24771931898704</v>
      </c>
      <c r="R17">
        <f t="shared" si="25"/>
        <v>4324.247719318987</v>
      </c>
      <c r="S17">
        <f t="shared" si="7"/>
        <v>14118333.707433984</v>
      </c>
      <c r="T17">
        <f t="shared" si="26"/>
        <v>57.139500414724267</v>
      </c>
      <c r="U17">
        <f t="shared" si="27"/>
        <v>87.505140291908305</v>
      </c>
      <c r="V17">
        <f t="shared" si="28"/>
        <v>1.113396620926554</v>
      </c>
      <c r="W17">
        <f t="shared" si="29"/>
        <v>1405.3805087786709</v>
      </c>
      <c r="X17">
        <v>799.9</v>
      </c>
      <c r="Y17">
        <f t="shared" si="12"/>
        <v>0.56916969817316132</v>
      </c>
      <c r="Z17" t="str">
        <f t="shared" si="13"/>
        <v>LC-L16</v>
      </c>
      <c r="AA17">
        <f t="shared" si="14"/>
        <v>490</v>
      </c>
      <c r="AB17">
        <f t="shared" si="35"/>
        <v>517.02058150931066</v>
      </c>
      <c r="AC17">
        <f t="shared" si="15"/>
        <v>519.7880493042129</v>
      </c>
      <c r="AD17">
        <f t="shared" si="16"/>
        <v>325.88344850615891</v>
      </c>
      <c r="AE17">
        <f t="shared" si="17"/>
        <v>473.25094511267991</v>
      </c>
      <c r="AF17">
        <f t="shared" si="30"/>
        <v>1524.610993272428</v>
      </c>
      <c r="AG17">
        <f t="shared" si="1"/>
        <v>0.52465842338122792</v>
      </c>
    </row>
    <row r="18" spans="1:33" x14ac:dyDescent="0.25">
      <c r="A18">
        <v>17</v>
      </c>
      <c r="B18">
        <v>355</v>
      </c>
      <c r="C18">
        <v>205</v>
      </c>
      <c r="D18">
        <v>0.2</v>
      </c>
      <c r="E18">
        <v>6000</v>
      </c>
      <c r="F18">
        <v>110</v>
      </c>
      <c r="G18">
        <f t="shared" si="2"/>
        <v>150</v>
      </c>
      <c r="H18">
        <v>8</v>
      </c>
      <c r="I18">
        <f t="shared" si="3"/>
        <v>13.75</v>
      </c>
      <c r="J18">
        <f t="shared" si="31"/>
        <v>0.28906822465146947</v>
      </c>
      <c r="K18">
        <f t="shared" si="24"/>
        <v>0.55000000000000004</v>
      </c>
      <c r="L18">
        <f t="shared" si="0"/>
        <v>6</v>
      </c>
      <c r="M18">
        <v>2.5</v>
      </c>
      <c r="N18">
        <f t="shared" si="5"/>
        <v>325</v>
      </c>
      <c r="O18">
        <f t="shared" si="32"/>
        <v>203400</v>
      </c>
      <c r="P18">
        <f t="shared" si="33"/>
        <v>3520</v>
      </c>
      <c r="Q18">
        <f t="shared" si="34"/>
        <v>804.24771931898704</v>
      </c>
      <c r="R18">
        <f t="shared" si="25"/>
        <v>4324.247719318987</v>
      </c>
      <c r="S18">
        <f t="shared" si="7"/>
        <v>14118333.707433984</v>
      </c>
      <c r="T18">
        <f t="shared" si="26"/>
        <v>57.139500414724267</v>
      </c>
      <c r="U18">
        <f t="shared" si="27"/>
        <v>105.00616835028997</v>
      </c>
      <c r="V18">
        <f t="shared" si="28"/>
        <v>1.3360759451118649</v>
      </c>
      <c r="W18">
        <f t="shared" si="29"/>
        <v>1405.3805087786709</v>
      </c>
      <c r="X18">
        <v>629.6</v>
      </c>
      <c r="Y18">
        <f t="shared" si="12"/>
        <v>0.44799255153121936</v>
      </c>
      <c r="Z18" t="str">
        <f t="shared" si="13"/>
        <v>LC-L17</v>
      </c>
      <c r="AA18">
        <f t="shared" si="14"/>
        <v>490</v>
      </c>
      <c r="AB18">
        <f t="shared" si="35"/>
        <v>517.02058150931066</v>
      </c>
      <c r="AC18">
        <f t="shared" si="15"/>
        <v>519.7880493042129</v>
      </c>
      <c r="AD18">
        <f t="shared" si="16"/>
        <v>325.88344850615891</v>
      </c>
      <c r="AE18">
        <f t="shared" si="17"/>
        <v>473.25094511267991</v>
      </c>
      <c r="AF18">
        <f t="shared" si="30"/>
        <v>1524.610993272428</v>
      </c>
      <c r="AG18">
        <f t="shared" si="1"/>
        <v>0.41295779892589213</v>
      </c>
    </row>
    <row r="19" spans="1:33" x14ac:dyDescent="0.25">
      <c r="A19">
        <v>18</v>
      </c>
      <c r="B19">
        <v>355</v>
      </c>
      <c r="C19">
        <v>205</v>
      </c>
      <c r="D19">
        <v>0.2</v>
      </c>
      <c r="E19">
        <v>7000</v>
      </c>
      <c r="F19">
        <v>110</v>
      </c>
      <c r="G19">
        <f t="shared" si="2"/>
        <v>150</v>
      </c>
      <c r="H19">
        <v>8</v>
      </c>
      <c r="I19">
        <f t="shared" si="3"/>
        <v>13.75</v>
      </c>
      <c r="J19">
        <f t="shared" si="31"/>
        <v>0.28906822465146947</v>
      </c>
      <c r="K19">
        <f t="shared" si="24"/>
        <v>0.55000000000000004</v>
      </c>
      <c r="L19">
        <f t="shared" si="0"/>
        <v>7</v>
      </c>
      <c r="M19">
        <v>2.5</v>
      </c>
      <c r="N19">
        <f t="shared" si="5"/>
        <v>325</v>
      </c>
      <c r="O19">
        <f t="shared" si="32"/>
        <v>203400</v>
      </c>
      <c r="P19">
        <f t="shared" si="33"/>
        <v>3520</v>
      </c>
      <c r="Q19">
        <f t="shared" si="34"/>
        <v>804.24771931898704</v>
      </c>
      <c r="R19">
        <f t="shared" si="25"/>
        <v>4324.247719318987</v>
      </c>
      <c r="S19">
        <f t="shared" si="7"/>
        <v>14118333.707433984</v>
      </c>
      <c r="T19">
        <f t="shared" si="26"/>
        <v>57.139500414724267</v>
      </c>
      <c r="U19">
        <f t="shared" si="27"/>
        <v>122.50719640867163</v>
      </c>
      <c r="V19">
        <f t="shared" si="28"/>
        <v>1.5587552692971756</v>
      </c>
      <c r="W19">
        <f t="shared" si="29"/>
        <v>1405.3805087786709</v>
      </c>
      <c r="X19">
        <v>493</v>
      </c>
      <c r="Y19">
        <f t="shared" si="12"/>
        <v>0.3507946758336899</v>
      </c>
      <c r="Z19" t="str">
        <f t="shared" si="13"/>
        <v>LC-L18</v>
      </c>
      <c r="AA19">
        <f t="shared" si="14"/>
        <v>490</v>
      </c>
      <c r="AB19">
        <f t="shared" si="35"/>
        <v>517.02058150931066</v>
      </c>
      <c r="AC19">
        <f t="shared" si="15"/>
        <v>519.7880493042129</v>
      </c>
      <c r="AD19">
        <f t="shared" si="16"/>
        <v>325.88344850615891</v>
      </c>
      <c r="AE19">
        <f t="shared" si="17"/>
        <v>473.25094511267991</v>
      </c>
      <c r="AF19">
        <f t="shared" si="30"/>
        <v>1524.610993272428</v>
      </c>
      <c r="AG19">
        <f t="shared" si="1"/>
        <v>0.32336117355537614</v>
      </c>
    </row>
    <row r="20" spans="1:33" x14ac:dyDescent="0.25">
      <c r="A20">
        <v>19</v>
      </c>
      <c r="B20">
        <v>355</v>
      </c>
      <c r="C20">
        <v>205</v>
      </c>
      <c r="D20">
        <v>0.2</v>
      </c>
      <c r="E20">
        <v>8000</v>
      </c>
      <c r="F20">
        <v>110</v>
      </c>
      <c r="G20">
        <f t="shared" si="2"/>
        <v>150</v>
      </c>
      <c r="H20">
        <v>8</v>
      </c>
      <c r="I20">
        <f t="shared" si="3"/>
        <v>13.75</v>
      </c>
      <c r="J20">
        <f t="shared" si="31"/>
        <v>0.28906822465146947</v>
      </c>
      <c r="K20">
        <f t="shared" si="24"/>
        <v>0.55000000000000004</v>
      </c>
      <c r="L20">
        <f t="shared" si="0"/>
        <v>8</v>
      </c>
      <c r="M20">
        <v>2.5</v>
      </c>
      <c r="N20">
        <f t="shared" si="5"/>
        <v>325</v>
      </c>
      <c r="O20">
        <f t="shared" si="32"/>
        <v>203400</v>
      </c>
      <c r="P20">
        <f t="shared" si="33"/>
        <v>3520</v>
      </c>
      <c r="Q20">
        <f t="shared" si="34"/>
        <v>804.24771931898704</v>
      </c>
      <c r="R20">
        <f t="shared" si="25"/>
        <v>4324.247719318987</v>
      </c>
      <c r="S20">
        <f t="shared" si="7"/>
        <v>14118333.707433984</v>
      </c>
      <c r="T20">
        <f t="shared" si="26"/>
        <v>57.139500414724267</v>
      </c>
      <c r="U20">
        <f t="shared" si="27"/>
        <v>140.00822446705328</v>
      </c>
      <c r="V20">
        <f t="shared" si="28"/>
        <v>1.7814345934824865</v>
      </c>
      <c r="W20">
        <f t="shared" si="29"/>
        <v>1405.3805087786709</v>
      </c>
      <c r="X20">
        <v>390.3</v>
      </c>
      <c r="Y20">
        <f t="shared" si="12"/>
        <v>0.27771838129389281</v>
      </c>
      <c r="Z20" t="str">
        <f t="shared" si="13"/>
        <v>LC-L19</v>
      </c>
      <c r="AA20">
        <f t="shared" si="14"/>
        <v>490</v>
      </c>
      <c r="AB20">
        <f t="shared" si="35"/>
        <v>517.02058150931066</v>
      </c>
      <c r="AC20">
        <f t="shared" si="15"/>
        <v>519.7880493042129</v>
      </c>
      <c r="AD20">
        <f t="shared" si="16"/>
        <v>325.88344850615891</v>
      </c>
      <c r="AE20">
        <f t="shared" si="17"/>
        <v>473.25094511267991</v>
      </c>
      <c r="AF20">
        <f t="shared" si="30"/>
        <v>1524.610993272428</v>
      </c>
      <c r="AG20">
        <f t="shared" si="1"/>
        <v>0.25599972827315076</v>
      </c>
    </row>
    <row r="21" spans="1:33" x14ac:dyDescent="0.25">
      <c r="A21">
        <v>20</v>
      </c>
      <c r="B21">
        <v>355</v>
      </c>
      <c r="C21">
        <v>205</v>
      </c>
      <c r="D21">
        <v>0.2</v>
      </c>
      <c r="E21">
        <v>9000</v>
      </c>
      <c r="F21">
        <v>110</v>
      </c>
      <c r="G21">
        <f t="shared" si="2"/>
        <v>150</v>
      </c>
      <c r="H21">
        <v>8</v>
      </c>
      <c r="I21">
        <f t="shared" si="3"/>
        <v>13.75</v>
      </c>
      <c r="J21">
        <f t="shared" si="31"/>
        <v>0.28906822465146947</v>
      </c>
      <c r="K21">
        <f t="shared" si="24"/>
        <v>0.55000000000000004</v>
      </c>
      <c r="L21">
        <f t="shared" si="0"/>
        <v>9</v>
      </c>
      <c r="M21">
        <v>2.5</v>
      </c>
      <c r="N21">
        <f t="shared" si="5"/>
        <v>325</v>
      </c>
      <c r="O21">
        <f t="shared" si="32"/>
        <v>203400</v>
      </c>
      <c r="P21">
        <f t="shared" si="33"/>
        <v>3520</v>
      </c>
      <c r="Q21">
        <f t="shared" si="34"/>
        <v>804.24771931898704</v>
      </c>
      <c r="R21">
        <f t="shared" si="25"/>
        <v>4324.247719318987</v>
      </c>
      <c r="S21">
        <f t="shared" si="7"/>
        <v>14118333.707433984</v>
      </c>
      <c r="T21">
        <f t="shared" si="26"/>
        <v>57.139500414724267</v>
      </c>
      <c r="U21">
        <f t="shared" si="27"/>
        <v>157.50925252543496</v>
      </c>
      <c r="V21">
        <f t="shared" si="28"/>
        <v>2.0041139176677971</v>
      </c>
      <c r="W21">
        <f t="shared" si="29"/>
        <v>1405.3805087786709</v>
      </c>
      <c r="X21">
        <v>314.8</v>
      </c>
      <c r="Y21">
        <f t="shared" si="12"/>
        <v>0.22399627576560968</v>
      </c>
      <c r="Z21" t="str">
        <f t="shared" si="13"/>
        <v>LC-L20</v>
      </c>
      <c r="AA21">
        <f t="shared" si="14"/>
        <v>490</v>
      </c>
      <c r="AB21">
        <f t="shared" si="35"/>
        <v>517.02058150931066</v>
      </c>
      <c r="AC21">
        <f t="shared" si="15"/>
        <v>519.7880493042129</v>
      </c>
      <c r="AD21">
        <f t="shared" si="16"/>
        <v>325.88344850615891</v>
      </c>
      <c r="AE21">
        <f t="shared" si="17"/>
        <v>473.25094511267991</v>
      </c>
      <c r="AF21">
        <f t="shared" si="30"/>
        <v>1524.610993272428</v>
      </c>
      <c r="AG21">
        <f t="shared" si="1"/>
        <v>0.20647889946294606</v>
      </c>
    </row>
    <row r="22" spans="1:33" x14ac:dyDescent="0.25">
      <c r="A22">
        <v>21</v>
      </c>
      <c r="B22">
        <v>355</v>
      </c>
      <c r="C22">
        <v>205</v>
      </c>
      <c r="D22">
        <v>0.2</v>
      </c>
      <c r="E22">
        <v>10000</v>
      </c>
      <c r="F22">
        <v>110</v>
      </c>
      <c r="G22">
        <f t="shared" si="2"/>
        <v>150</v>
      </c>
      <c r="H22">
        <v>8</v>
      </c>
      <c r="I22">
        <f t="shared" si="3"/>
        <v>13.75</v>
      </c>
      <c r="J22">
        <f>SQRT(12*(1-0.3^2)*I22^2*N22/(4*PI()^2*O22))</f>
        <v>0.28906822465146947</v>
      </c>
      <c r="K22">
        <f>H22*I22/200</f>
        <v>0.55000000000000004</v>
      </c>
      <c r="L22">
        <f t="shared" si="0"/>
        <v>10</v>
      </c>
      <c r="M22">
        <v>2.5</v>
      </c>
      <c r="N22">
        <f t="shared" si="5"/>
        <v>325</v>
      </c>
      <c r="O22">
        <f>193000*D22+(1-D22)*206000</f>
        <v>203400</v>
      </c>
      <c r="P22">
        <f>H22*I22*H22*4</f>
        <v>3520</v>
      </c>
      <c r="Q22">
        <f>PI()*(M22*H22)^2-PI()*((M22-1)*H22)^2</f>
        <v>804.24771931898704</v>
      </c>
      <c r="R22">
        <f>P22+Q22</f>
        <v>4324.247719318987</v>
      </c>
      <c r="S22">
        <f t="shared" si="7"/>
        <v>14118333.707433984</v>
      </c>
      <c r="T22">
        <f>SQRT(S22/R22)</f>
        <v>57.139500414724267</v>
      </c>
      <c r="U22">
        <f>E22/T22</f>
        <v>175.01028058381661</v>
      </c>
      <c r="V22">
        <f>U22/PI()*SQRT(N22/O22)</f>
        <v>2.226793241853108</v>
      </c>
      <c r="W22">
        <f>R22*N22/1000</f>
        <v>1405.3805087786709</v>
      </c>
      <c r="X22">
        <v>258.7</v>
      </c>
      <c r="Y22">
        <f t="shared" si="12"/>
        <v>0.18407826092936219</v>
      </c>
      <c r="Z22" t="str">
        <f t="shared" si="13"/>
        <v>LC-L21</v>
      </c>
      <c r="AA22">
        <f t="shared" si="14"/>
        <v>490</v>
      </c>
      <c r="AB22">
        <f>C22/(0.2+185*C22/193000)</f>
        <v>517.02058150931066</v>
      </c>
      <c r="AC22">
        <f t="shared" si="15"/>
        <v>519.7880493042129</v>
      </c>
      <c r="AD22">
        <f t="shared" si="16"/>
        <v>325.88344850615891</v>
      </c>
      <c r="AE22">
        <f t="shared" si="17"/>
        <v>473.25094511267991</v>
      </c>
      <c r="AF22">
        <f>(AE22*Q22+N22*P22)/1000</f>
        <v>1524.610993272428</v>
      </c>
      <c r="AG22">
        <f t="shared" si="1"/>
        <v>0.16968262798940326</v>
      </c>
    </row>
    <row r="23" spans="1:33" x14ac:dyDescent="0.25">
      <c r="A23">
        <v>22</v>
      </c>
      <c r="B23">
        <v>355</v>
      </c>
      <c r="C23">
        <v>205</v>
      </c>
      <c r="D23">
        <v>0.2</v>
      </c>
      <c r="E23">
        <v>12000</v>
      </c>
      <c r="F23">
        <v>110</v>
      </c>
      <c r="G23">
        <f t="shared" si="2"/>
        <v>150</v>
      </c>
      <c r="H23">
        <v>8</v>
      </c>
      <c r="I23">
        <f t="shared" si="3"/>
        <v>13.75</v>
      </c>
      <c r="J23">
        <f>SQRT(12*(1-0.3^2)*I23^2*N23/(4*PI()^2*O23))</f>
        <v>0.28906822465146947</v>
      </c>
      <c r="K23">
        <f t="shared" ref="K23" si="36">H23*I23/200</f>
        <v>0.55000000000000004</v>
      </c>
      <c r="L23">
        <f t="shared" si="0"/>
        <v>12</v>
      </c>
      <c r="M23">
        <v>2.5</v>
      </c>
      <c r="N23">
        <f t="shared" si="5"/>
        <v>325</v>
      </c>
      <c r="O23">
        <f>193000*D23+(1-D23)*206000</f>
        <v>203400</v>
      </c>
      <c r="P23">
        <f>H23*I23*H23*4</f>
        <v>3520</v>
      </c>
      <c r="Q23">
        <f>PI()*(M23*H23)^2-PI()*((M23-1)*H23)^2</f>
        <v>804.24771931898704</v>
      </c>
      <c r="R23">
        <f t="shared" ref="R23:R30" si="37">P23+Q23</f>
        <v>4324.247719318987</v>
      </c>
      <c r="S23">
        <f t="shared" si="7"/>
        <v>14118333.707433984</v>
      </c>
      <c r="T23">
        <f t="shared" ref="T23:T30" si="38">SQRT(S23/R23)</f>
        <v>57.139500414724267</v>
      </c>
      <c r="U23">
        <f t="shared" ref="U23:U30" si="39">E23/T23</f>
        <v>210.01233670057994</v>
      </c>
      <c r="V23">
        <f t="shared" ref="V23:V30" si="40">U23/PI()*SQRT(N23/O23)</f>
        <v>2.6721518902237298</v>
      </c>
      <c r="W23">
        <f t="shared" ref="W23:W30" si="41">R23*N23/1000</f>
        <v>1405.3805087786709</v>
      </c>
      <c r="X23">
        <v>183</v>
      </c>
      <c r="Y23">
        <f t="shared" si="12"/>
        <v>0.13021384518775911</v>
      </c>
      <c r="Z23" t="str">
        <f t="shared" si="13"/>
        <v>LC-L22</v>
      </c>
      <c r="AA23">
        <f t="shared" si="14"/>
        <v>490</v>
      </c>
      <c r="AB23">
        <f>C23/(0.2+185*C23/193000)</f>
        <v>517.02058150931066</v>
      </c>
      <c r="AC23">
        <f t="shared" si="15"/>
        <v>519.7880493042129</v>
      </c>
      <c r="AD23">
        <f t="shared" si="16"/>
        <v>325.88344850615891</v>
      </c>
      <c r="AE23">
        <f t="shared" si="17"/>
        <v>473.25094511267991</v>
      </c>
      <c r="AF23">
        <f t="shared" ref="AF23:AF30" si="42">(AE23*Q23+N23*P23)/1000</f>
        <v>1524.610993272428</v>
      </c>
      <c r="AG23">
        <f t="shared" si="1"/>
        <v>0.12003061817572785</v>
      </c>
    </row>
    <row r="24" spans="1:33" x14ac:dyDescent="0.25">
      <c r="A24">
        <v>23</v>
      </c>
      <c r="B24">
        <v>355</v>
      </c>
      <c r="C24">
        <v>205</v>
      </c>
      <c r="D24">
        <v>0.2</v>
      </c>
      <c r="E24">
        <v>1000</v>
      </c>
      <c r="F24">
        <v>110</v>
      </c>
      <c r="G24">
        <f t="shared" si="2"/>
        <v>150</v>
      </c>
      <c r="H24">
        <v>8</v>
      </c>
      <c r="I24">
        <f t="shared" si="3"/>
        <v>13.75</v>
      </c>
      <c r="J24">
        <f>SQRT(12*(1-0.3^2)*I24^2*N24/(4*PI()^2*O24))</f>
        <v>0.28906822465146947</v>
      </c>
      <c r="K24">
        <f>H24*I24/400</f>
        <v>0.27500000000000002</v>
      </c>
      <c r="L24">
        <f t="shared" si="0"/>
        <v>1</v>
      </c>
      <c r="M24">
        <v>2.5</v>
      </c>
      <c r="N24">
        <f t="shared" si="5"/>
        <v>325</v>
      </c>
      <c r="O24">
        <f>193000*D24+(1-D24)*206000</f>
        <v>203400</v>
      </c>
      <c r="P24">
        <f>H24*I24*H24*4</f>
        <v>3520</v>
      </c>
      <c r="Q24">
        <f>PI()*(M24*H24)^2-PI()*((M24-1)*H24)^2</f>
        <v>804.24771931898704</v>
      </c>
      <c r="R24">
        <f t="shared" si="37"/>
        <v>4324.247719318987</v>
      </c>
      <c r="S24">
        <f t="shared" si="7"/>
        <v>14118333.707433984</v>
      </c>
      <c r="T24">
        <f t="shared" si="38"/>
        <v>57.139500414724267</v>
      </c>
      <c r="U24">
        <f t="shared" si="39"/>
        <v>17.50102805838166</v>
      </c>
      <c r="V24">
        <f t="shared" si="40"/>
        <v>0.22267932418531081</v>
      </c>
      <c r="W24">
        <f t="shared" si="41"/>
        <v>1405.3805087786709</v>
      </c>
      <c r="X24">
        <v>1488.8</v>
      </c>
      <c r="Y24">
        <f t="shared" si="12"/>
        <v>1.0593572279537473</v>
      </c>
      <c r="Z24" t="str">
        <f t="shared" si="13"/>
        <v>LC-L23</v>
      </c>
      <c r="AA24">
        <f t="shared" si="14"/>
        <v>490</v>
      </c>
      <c r="AB24">
        <f>C24/(0.2+185*C24/193000)</f>
        <v>517.02058150931066</v>
      </c>
      <c r="AC24">
        <f t="shared" si="15"/>
        <v>519.7880493042129</v>
      </c>
      <c r="AD24">
        <f t="shared" si="16"/>
        <v>325.88344850615891</v>
      </c>
      <c r="AE24">
        <f t="shared" si="17"/>
        <v>473.25094511267991</v>
      </c>
      <c r="AF24">
        <f t="shared" si="42"/>
        <v>1524.610993272428</v>
      </c>
      <c r="AG24">
        <f t="shared" si="1"/>
        <v>0.97651138983619468</v>
      </c>
    </row>
    <row r="25" spans="1:33" x14ac:dyDescent="0.25">
      <c r="A25">
        <v>24</v>
      </c>
      <c r="B25">
        <v>355</v>
      </c>
      <c r="C25">
        <v>205</v>
      </c>
      <c r="D25">
        <v>0.2</v>
      </c>
      <c r="E25">
        <v>2000</v>
      </c>
      <c r="F25">
        <v>110</v>
      </c>
      <c r="G25">
        <f t="shared" si="2"/>
        <v>150</v>
      </c>
      <c r="H25">
        <v>8</v>
      </c>
      <c r="I25">
        <f t="shared" si="3"/>
        <v>13.75</v>
      </c>
      <c r="J25">
        <f t="shared" ref="J25:J30" si="43">SQRT(12*(1-0.3^2)*I25^2*N25/(4*PI()^2*O25))</f>
        <v>0.28906822465146947</v>
      </c>
      <c r="K25">
        <f t="shared" ref="K25:K34" si="44">H25*I25/400</f>
        <v>0.27500000000000002</v>
      </c>
      <c r="L25">
        <f t="shared" si="0"/>
        <v>2</v>
      </c>
      <c r="M25">
        <v>2.5</v>
      </c>
      <c r="N25">
        <f t="shared" si="5"/>
        <v>325</v>
      </c>
      <c r="O25">
        <f t="shared" ref="O25:O30" si="45">193000*D25+(1-D25)*206000</f>
        <v>203400</v>
      </c>
      <c r="P25">
        <f t="shared" ref="P25:P30" si="46">H25*I25*H25*4</f>
        <v>3520</v>
      </c>
      <c r="Q25">
        <f t="shared" ref="Q25:Q30" si="47">PI()*(M25*H25)^2-PI()*((M25-1)*H25)^2</f>
        <v>804.24771931898704</v>
      </c>
      <c r="R25">
        <f t="shared" si="37"/>
        <v>4324.247719318987</v>
      </c>
      <c r="S25">
        <f t="shared" si="7"/>
        <v>14118333.707433984</v>
      </c>
      <c r="T25">
        <f t="shared" si="38"/>
        <v>57.139500414724267</v>
      </c>
      <c r="U25">
        <f t="shared" si="39"/>
        <v>35.00205611676332</v>
      </c>
      <c r="V25">
        <f t="shared" si="40"/>
        <v>0.44535864837062161</v>
      </c>
      <c r="W25">
        <f t="shared" si="41"/>
        <v>1405.3805087786709</v>
      </c>
      <c r="X25">
        <v>1279.2</v>
      </c>
      <c r="Y25">
        <f t="shared" si="12"/>
        <v>0.91021612439443422</v>
      </c>
      <c r="Z25" t="str">
        <f t="shared" si="13"/>
        <v>LC-L24</v>
      </c>
      <c r="AA25">
        <f t="shared" si="14"/>
        <v>490</v>
      </c>
      <c r="AB25">
        <f t="shared" ref="AB25:AB30" si="48">C25/(0.2+185*C25/193000)</f>
        <v>517.02058150931066</v>
      </c>
      <c r="AC25">
        <f t="shared" si="15"/>
        <v>519.7880493042129</v>
      </c>
      <c r="AD25">
        <f t="shared" si="16"/>
        <v>325.88344850615891</v>
      </c>
      <c r="AE25">
        <f t="shared" si="17"/>
        <v>473.25094511267991</v>
      </c>
      <c r="AF25">
        <f t="shared" si="42"/>
        <v>1524.610993272428</v>
      </c>
      <c r="AG25">
        <f t="shared" si="1"/>
        <v>0.83903369819885842</v>
      </c>
    </row>
    <row r="26" spans="1:33" x14ac:dyDescent="0.25">
      <c r="A26">
        <v>25</v>
      </c>
      <c r="B26">
        <v>355</v>
      </c>
      <c r="C26">
        <v>205</v>
      </c>
      <c r="D26">
        <v>0.2</v>
      </c>
      <c r="E26">
        <v>3000</v>
      </c>
      <c r="F26">
        <v>110</v>
      </c>
      <c r="G26">
        <f t="shared" si="2"/>
        <v>150</v>
      </c>
      <c r="H26">
        <v>8</v>
      </c>
      <c r="I26">
        <f t="shared" si="3"/>
        <v>13.75</v>
      </c>
      <c r="J26">
        <f t="shared" si="43"/>
        <v>0.28906822465146947</v>
      </c>
      <c r="K26">
        <f t="shared" si="44"/>
        <v>0.27500000000000002</v>
      </c>
      <c r="L26">
        <f t="shared" si="0"/>
        <v>3</v>
      </c>
      <c r="M26">
        <v>2.5</v>
      </c>
      <c r="N26">
        <f t="shared" si="5"/>
        <v>325</v>
      </c>
      <c r="O26">
        <f t="shared" si="45"/>
        <v>203400</v>
      </c>
      <c r="P26">
        <f t="shared" si="46"/>
        <v>3520</v>
      </c>
      <c r="Q26">
        <f t="shared" si="47"/>
        <v>804.24771931898704</v>
      </c>
      <c r="R26">
        <f t="shared" si="37"/>
        <v>4324.247719318987</v>
      </c>
      <c r="S26">
        <f t="shared" si="7"/>
        <v>14118333.707433984</v>
      </c>
      <c r="T26">
        <f t="shared" si="38"/>
        <v>57.139500414724267</v>
      </c>
      <c r="U26">
        <f t="shared" si="39"/>
        <v>52.503084175144984</v>
      </c>
      <c r="V26">
        <f t="shared" si="40"/>
        <v>0.66803797255593245</v>
      </c>
      <c r="W26">
        <f t="shared" si="41"/>
        <v>1405.3805087786709</v>
      </c>
      <c r="X26">
        <v>1118.0999999999999</v>
      </c>
      <c r="Y26">
        <f t="shared" si="12"/>
        <v>0.79558524756521021</v>
      </c>
      <c r="Z26" t="str">
        <f t="shared" si="13"/>
        <v>LC-L25</v>
      </c>
      <c r="AA26">
        <f t="shared" si="14"/>
        <v>490</v>
      </c>
      <c r="AB26">
        <f t="shared" si="48"/>
        <v>517.02058150931066</v>
      </c>
      <c r="AC26">
        <f t="shared" si="15"/>
        <v>519.7880493042129</v>
      </c>
      <c r="AD26">
        <f t="shared" si="16"/>
        <v>325.88344850615891</v>
      </c>
      <c r="AE26">
        <f t="shared" si="17"/>
        <v>473.25094511267991</v>
      </c>
      <c r="AF26">
        <f t="shared" si="42"/>
        <v>1524.610993272428</v>
      </c>
      <c r="AG26">
        <f t="shared" si="1"/>
        <v>0.73336739990317656</v>
      </c>
    </row>
    <row r="27" spans="1:33" x14ac:dyDescent="0.25">
      <c r="A27">
        <v>26</v>
      </c>
      <c r="B27">
        <v>355</v>
      </c>
      <c r="C27">
        <v>205</v>
      </c>
      <c r="D27">
        <v>0.2</v>
      </c>
      <c r="E27">
        <v>4000</v>
      </c>
      <c r="F27">
        <v>110</v>
      </c>
      <c r="G27">
        <f t="shared" si="2"/>
        <v>150</v>
      </c>
      <c r="H27">
        <v>8</v>
      </c>
      <c r="I27">
        <f t="shared" si="3"/>
        <v>13.75</v>
      </c>
      <c r="J27">
        <f t="shared" si="43"/>
        <v>0.28906822465146947</v>
      </c>
      <c r="K27">
        <f t="shared" si="44"/>
        <v>0.27500000000000002</v>
      </c>
      <c r="L27">
        <f t="shared" si="0"/>
        <v>4</v>
      </c>
      <c r="M27">
        <v>2.5</v>
      </c>
      <c r="N27">
        <f t="shared" si="5"/>
        <v>325</v>
      </c>
      <c r="O27">
        <f t="shared" si="45"/>
        <v>203400</v>
      </c>
      <c r="P27">
        <f t="shared" si="46"/>
        <v>3520</v>
      </c>
      <c r="Q27">
        <f t="shared" si="47"/>
        <v>804.24771931898704</v>
      </c>
      <c r="R27">
        <f t="shared" si="37"/>
        <v>4324.247719318987</v>
      </c>
      <c r="S27">
        <f t="shared" si="7"/>
        <v>14118333.707433984</v>
      </c>
      <c r="T27">
        <f t="shared" si="38"/>
        <v>57.139500414724267</v>
      </c>
      <c r="U27">
        <f t="shared" si="39"/>
        <v>70.004112233526641</v>
      </c>
      <c r="V27">
        <f t="shared" si="40"/>
        <v>0.89071729674124323</v>
      </c>
      <c r="W27">
        <f t="shared" si="41"/>
        <v>1405.3805087786709</v>
      </c>
      <c r="X27">
        <v>962.6</v>
      </c>
      <c r="Y27">
        <f t="shared" si="12"/>
        <v>0.68493905670894495</v>
      </c>
      <c r="Z27" t="str">
        <f t="shared" si="13"/>
        <v>LC-L26</v>
      </c>
      <c r="AA27">
        <f t="shared" si="14"/>
        <v>490</v>
      </c>
      <c r="AB27">
        <f t="shared" si="48"/>
        <v>517.02058150931066</v>
      </c>
      <c r="AC27">
        <f t="shared" si="15"/>
        <v>519.7880493042129</v>
      </c>
      <c r="AD27">
        <f t="shared" si="16"/>
        <v>325.88344850615891</v>
      </c>
      <c r="AE27">
        <f t="shared" si="17"/>
        <v>473.25094511267991</v>
      </c>
      <c r="AF27">
        <f t="shared" si="42"/>
        <v>1524.610993272428</v>
      </c>
      <c r="AG27">
        <f t="shared" si="1"/>
        <v>0.63137416970467564</v>
      </c>
    </row>
    <row r="28" spans="1:33" x14ac:dyDescent="0.25">
      <c r="A28">
        <v>27</v>
      </c>
      <c r="B28">
        <v>355</v>
      </c>
      <c r="C28">
        <v>205</v>
      </c>
      <c r="D28">
        <v>0.2</v>
      </c>
      <c r="E28">
        <v>5000</v>
      </c>
      <c r="F28">
        <v>110</v>
      </c>
      <c r="G28">
        <f t="shared" si="2"/>
        <v>150</v>
      </c>
      <c r="H28">
        <v>8</v>
      </c>
      <c r="I28">
        <f t="shared" si="3"/>
        <v>13.75</v>
      </c>
      <c r="J28">
        <f t="shared" si="43"/>
        <v>0.28906822465146947</v>
      </c>
      <c r="K28">
        <f t="shared" si="44"/>
        <v>0.27500000000000002</v>
      </c>
      <c r="L28">
        <f t="shared" si="0"/>
        <v>5</v>
      </c>
      <c r="M28">
        <v>2.5</v>
      </c>
      <c r="N28">
        <f t="shared" si="5"/>
        <v>325</v>
      </c>
      <c r="O28">
        <f t="shared" si="45"/>
        <v>203400</v>
      </c>
      <c r="P28">
        <f t="shared" si="46"/>
        <v>3520</v>
      </c>
      <c r="Q28">
        <f t="shared" si="47"/>
        <v>804.24771931898704</v>
      </c>
      <c r="R28">
        <f t="shared" si="37"/>
        <v>4324.247719318987</v>
      </c>
      <c r="S28">
        <f t="shared" si="7"/>
        <v>14118333.707433984</v>
      </c>
      <c r="T28">
        <f t="shared" si="38"/>
        <v>57.139500414724267</v>
      </c>
      <c r="U28">
        <f t="shared" si="39"/>
        <v>87.505140291908305</v>
      </c>
      <c r="V28">
        <f t="shared" si="40"/>
        <v>1.113396620926554</v>
      </c>
      <c r="W28">
        <f t="shared" si="41"/>
        <v>1405.3805087786709</v>
      </c>
      <c r="X28">
        <v>800</v>
      </c>
      <c r="Y28">
        <f t="shared" si="12"/>
        <v>0.56924085327982132</v>
      </c>
      <c r="Z28" t="str">
        <f t="shared" si="13"/>
        <v>LC-L27</v>
      </c>
      <c r="AA28">
        <f t="shared" si="14"/>
        <v>490</v>
      </c>
      <c r="AB28">
        <f t="shared" si="48"/>
        <v>517.02058150931066</v>
      </c>
      <c r="AC28">
        <f t="shared" si="15"/>
        <v>519.7880493042129</v>
      </c>
      <c r="AD28">
        <f t="shared" si="16"/>
        <v>325.88344850615891</v>
      </c>
      <c r="AE28">
        <f t="shared" si="17"/>
        <v>473.25094511267991</v>
      </c>
      <c r="AF28">
        <f t="shared" si="42"/>
        <v>1524.610993272428</v>
      </c>
      <c r="AG28">
        <f t="shared" si="1"/>
        <v>0.5247240138829633</v>
      </c>
    </row>
    <row r="29" spans="1:33" x14ac:dyDescent="0.25">
      <c r="A29">
        <v>28</v>
      </c>
      <c r="B29">
        <v>355</v>
      </c>
      <c r="C29">
        <v>205</v>
      </c>
      <c r="D29">
        <v>0.2</v>
      </c>
      <c r="E29">
        <v>6000</v>
      </c>
      <c r="F29">
        <v>110</v>
      </c>
      <c r="G29">
        <f t="shared" si="2"/>
        <v>150</v>
      </c>
      <c r="H29">
        <v>8</v>
      </c>
      <c r="I29">
        <f t="shared" si="3"/>
        <v>13.75</v>
      </c>
      <c r="J29">
        <f t="shared" si="43"/>
        <v>0.28906822465146947</v>
      </c>
      <c r="K29">
        <f t="shared" si="44"/>
        <v>0.27500000000000002</v>
      </c>
      <c r="L29">
        <f t="shared" si="0"/>
        <v>6</v>
      </c>
      <c r="M29">
        <v>2.5</v>
      </c>
      <c r="N29">
        <f t="shared" si="5"/>
        <v>325</v>
      </c>
      <c r="O29">
        <f t="shared" si="45"/>
        <v>203400</v>
      </c>
      <c r="P29">
        <f t="shared" si="46"/>
        <v>3520</v>
      </c>
      <c r="Q29">
        <f t="shared" si="47"/>
        <v>804.24771931898704</v>
      </c>
      <c r="R29">
        <f t="shared" si="37"/>
        <v>4324.247719318987</v>
      </c>
      <c r="S29">
        <f t="shared" si="7"/>
        <v>14118333.707433984</v>
      </c>
      <c r="T29">
        <f t="shared" si="38"/>
        <v>57.139500414724267</v>
      </c>
      <c r="U29">
        <f t="shared" si="39"/>
        <v>105.00616835028997</v>
      </c>
      <c r="V29">
        <f t="shared" si="40"/>
        <v>1.3360759451118649</v>
      </c>
      <c r="W29">
        <f t="shared" si="41"/>
        <v>1405.3805087786709</v>
      </c>
      <c r="X29">
        <v>629.6</v>
      </c>
      <c r="Y29">
        <f t="shared" si="12"/>
        <v>0.44799255153121936</v>
      </c>
      <c r="Z29" t="str">
        <f t="shared" si="13"/>
        <v>LC-L28</v>
      </c>
      <c r="AA29">
        <f t="shared" si="14"/>
        <v>490</v>
      </c>
      <c r="AB29">
        <f t="shared" si="48"/>
        <v>517.02058150931066</v>
      </c>
      <c r="AC29">
        <f t="shared" si="15"/>
        <v>519.7880493042129</v>
      </c>
      <c r="AD29">
        <f t="shared" si="16"/>
        <v>325.88344850615891</v>
      </c>
      <c r="AE29">
        <f t="shared" si="17"/>
        <v>473.25094511267991</v>
      </c>
      <c r="AF29">
        <f t="shared" si="42"/>
        <v>1524.610993272428</v>
      </c>
      <c r="AG29">
        <f t="shared" si="1"/>
        <v>0.41295779892589213</v>
      </c>
    </row>
    <row r="30" spans="1:33" x14ac:dyDescent="0.25">
      <c r="A30">
        <v>29</v>
      </c>
      <c r="B30">
        <v>355</v>
      </c>
      <c r="C30">
        <v>205</v>
      </c>
      <c r="D30">
        <v>0.2</v>
      </c>
      <c r="E30">
        <v>7000</v>
      </c>
      <c r="F30">
        <v>110</v>
      </c>
      <c r="G30">
        <f t="shared" si="2"/>
        <v>150</v>
      </c>
      <c r="H30">
        <v>8</v>
      </c>
      <c r="I30">
        <f t="shared" si="3"/>
        <v>13.75</v>
      </c>
      <c r="J30">
        <f t="shared" si="43"/>
        <v>0.28906822465146947</v>
      </c>
      <c r="K30">
        <f t="shared" si="44"/>
        <v>0.27500000000000002</v>
      </c>
      <c r="L30">
        <f t="shared" si="0"/>
        <v>7</v>
      </c>
      <c r="M30">
        <v>2.5</v>
      </c>
      <c r="N30">
        <f t="shared" si="5"/>
        <v>325</v>
      </c>
      <c r="O30">
        <f t="shared" si="45"/>
        <v>203400</v>
      </c>
      <c r="P30">
        <f t="shared" si="46"/>
        <v>3520</v>
      </c>
      <c r="Q30">
        <f t="shared" si="47"/>
        <v>804.24771931898704</v>
      </c>
      <c r="R30">
        <f t="shared" si="37"/>
        <v>4324.247719318987</v>
      </c>
      <c r="S30">
        <f t="shared" si="7"/>
        <v>14118333.707433984</v>
      </c>
      <c r="T30">
        <f t="shared" si="38"/>
        <v>57.139500414724267</v>
      </c>
      <c r="U30">
        <f t="shared" si="39"/>
        <v>122.50719640867163</v>
      </c>
      <c r="V30">
        <f t="shared" si="40"/>
        <v>1.5587552692971756</v>
      </c>
      <c r="W30">
        <f t="shared" si="41"/>
        <v>1405.3805087786709</v>
      </c>
      <c r="X30">
        <v>493</v>
      </c>
      <c r="Y30">
        <f t="shared" si="12"/>
        <v>0.3507946758336899</v>
      </c>
      <c r="Z30" t="str">
        <f t="shared" si="13"/>
        <v>LC-L29</v>
      </c>
      <c r="AA30">
        <f t="shared" si="14"/>
        <v>490</v>
      </c>
      <c r="AB30">
        <f t="shared" si="48"/>
        <v>517.02058150931066</v>
      </c>
      <c r="AC30">
        <f t="shared" si="15"/>
        <v>519.7880493042129</v>
      </c>
      <c r="AD30">
        <f t="shared" si="16"/>
        <v>325.88344850615891</v>
      </c>
      <c r="AE30">
        <f t="shared" si="17"/>
        <v>473.25094511267991</v>
      </c>
      <c r="AF30">
        <f t="shared" si="42"/>
        <v>1524.610993272428</v>
      </c>
      <c r="AG30">
        <f t="shared" si="1"/>
        <v>0.32336117355537614</v>
      </c>
    </row>
    <row r="31" spans="1:33" x14ac:dyDescent="0.25">
      <c r="A31">
        <v>30</v>
      </c>
      <c r="B31">
        <v>355</v>
      </c>
      <c r="C31">
        <v>205</v>
      </c>
      <c r="D31">
        <v>0.2</v>
      </c>
      <c r="E31">
        <v>8000</v>
      </c>
      <c r="F31">
        <v>110</v>
      </c>
      <c r="G31">
        <f t="shared" si="2"/>
        <v>150</v>
      </c>
      <c r="H31">
        <v>8</v>
      </c>
      <c r="I31">
        <f t="shared" si="3"/>
        <v>13.75</v>
      </c>
      <c r="J31">
        <f>SQRT(12*(1-0.3^2)*I31^2*N31/(4*PI()^2*O31))</f>
        <v>0.28906822465146947</v>
      </c>
      <c r="K31">
        <f t="shared" si="44"/>
        <v>0.27500000000000002</v>
      </c>
      <c r="L31">
        <f t="shared" si="0"/>
        <v>8</v>
      </c>
      <c r="M31">
        <v>2.5</v>
      </c>
      <c r="N31">
        <f t="shared" si="5"/>
        <v>325</v>
      </c>
      <c r="O31">
        <f>193000*D31+(1-D31)*206000</f>
        <v>203400</v>
      </c>
      <c r="P31">
        <f>H31*I31*H31*4</f>
        <v>3520</v>
      </c>
      <c r="Q31">
        <f>PI()*(M31*H31)^2-PI()*((M31-1)*H31)^2</f>
        <v>804.24771931898704</v>
      </c>
      <c r="R31">
        <f>P31+Q31</f>
        <v>4324.247719318987</v>
      </c>
      <c r="S31">
        <f t="shared" si="7"/>
        <v>14118333.707433984</v>
      </c>
      <c r="T31">
        <f>SQRT(S31/R31)</f>
        <v>57.139500414724267</v>
      </c>
      <c r="U31">
        <f>E31/T31</f>
        <v>140.00822446705328</v>
      </c>
      <c r="V31">
        <f>U31/PI()*SQRT(N31/O31)</f>
        <v>1.7814345934824865</v>
      </c>
      <c r="W31">
        <f>R31*N31/1000</f>
        <v>1405.3805087786709</v>
      </c>
      <c r="X31">
        <v>390.3</v>
      </c>
      <c r="Y31">
        <f t="shared" si="12"/>
        <v>0.27771838129389281</v>
      </c>
      <c r="Z31" t="str">
        <f t="shared" si="13"/>
        <v>LC-L30</v>
      </c>
      <c r="AA31">
        <f t="shared" si="14"/>
        <v>490</v>
      </c>
      <c r="AB31">
        <f>C31/(0.2+185*C31/193000)</f>
        <v>517.02058150931066</v>
      </c>
      <c r="AC31">
        <f t="shared" si="15"/>
        <v>519.7880493042129</v>
      </c>
      <c r="AD31">
        <f t="shared" si="16"/>
        <v>325.88344850615891</v>
      </c>
      <c r="AE31">
        <f t="shared" si="17"/>
        <v>473.25094511267991</v>
      </c>
      <c r="AF31">
        <f>(AE31*Q31+N31*P31)/1000</f>
        <v>1524.610993272428</v>
      </c>
      <c r="AG31">
        <f t="shared" si="1"/>
        <v>0.25599972827315076</v>
      </c>
    </row>
    <row r="32" spans="1:33" x14ac:dyDescent="0.25">
      <c r="A32">
        <v>31</v>
      </c>
      <c r="B32">
        <v>355</v>
      </c>
      <c r="C32">
        <v>205</v>
      </c>
      <c r="D32">
        <v>0.2</v>
      </c>
      <c r="E32">
        <v>9000</v>
      </c>
      <c r="F32">
        <v>110</v>
      </c>
      <c r="G32">
        <f t="shared" si="2"/>
        <v>150</v>
      </c>
      <c r="H32">
        <v>8</v>
      </c>
      <c r="I32">
        <f t="shared" si="3"/>
        <v>13.75</v>
      </c>
      <c r="J32">
        <f>SQRT(12*(1-0.3^2)*I32^2*N32/(4*PI()^2*O32))</f>
        <v>0.28906822465146947</v>
      </c>
      <c r="K32">
        <f t="shared" si="44"/>
        <v>0.27500000000000002</v>
      </c>
      <c r="L32">
        <f t="shared" si="0"/>
        <v>9</v>
      </c>
      <c r="M32">
        <v>2.5</v>
      </c>
      <c r="N32">
        <f t="shared" si="5"/>
        <v>325</v>
      </c>
      <c r="O32">
        <f>193000*D32+(1-D32)*206000</f>
        <v>203400</v>
      </c>
      <c r="P32">
        <f>H32*I32*H32*4</f>
        <v>3520</v>
      </c>
      <c r="Q32">
        <f>PI()*(M32*H32)^2-PI()*((M32-1)*H32)^2</f>
        <v>804.24771931898704</v>
      </c>
      <c r="R32">
        <f t="shared" ref="R32:R34" si="49">P32+Q32</f>
        <v>4324.247719318987</v>
      </c>
      <c r="S32">
        <f t="shared" si="7"/>
        <v>14118333.707433984</v>
      </c>
      <c r="T32">
        <f t="shared" ref="T32:T34" si="50">SQRT(S32/R32)</f>
        <v>57.139500414724267</v>
      </c>
      <c r="U32">
        <f t="shared" ref="U32:U34" si="51">E32/T32</f>
        <v>157.50925252543496</v>
      </c>
      <c r="V32">
        <f t="shared" ref="V32:V34" si="52">U32/PI()*SQRT(N32/O32)</f>
        <v>2.0041139176677971</v>
      </c>
      <c r="W32">
        <f t="shared" ref="W32:W34" si="53">R32*N32/1000</f>
        <v>1405.3805087786709</v>
      </c>
      <c r="X32">
        <v>314.8</v>
      </c>
      <c r="Y32">
        <f t="shared" si="12"/>
        <v>0.22399627576560968</v>
      </c>
      <c r="Z32" t="str">
        <f t="shared" si="13"/>
        <v>LC-L31</v>
      </c>
      <c r="AA32">
        <f t="shared" si="14"/>
        <v>490</v>
      </c>
      <c r="AB32">
        <f>C32/(0.2+185*C32/193000)</f>
        <v>517.02058150931066</v>
      </c>
      <c r="AC32">
        <f t="shared" si="15"/>
        <v>519.7880493042129</v>
      </c>
      <c r="AD32">
        <f t="shared" si="16"/>
        <v>325.88344850615891</v>
      </c>
      <c r="AE32">
        <f t="shared" si="17"/>
        <v>473.25094511267991</v>
      </c>
      <c r="AF32">
        <f t="shared" ref="AF32:AF34" si="54">(AE32*Q32+N32*P32)/1000</f>
        <v>1524.610993272428</v>
      </c>
      <c r="AG32">
        <f t="shared" si="1"/>
        <v>0.20647889946294606</v>
      </c>
    </row>
    <row r="33" spans="1:33" x14ac:dyDescent="0.25">
      <c r="A33">
        <v>32</v>
      </c>
      <c r="B33">
        <v>355</v>
      </c>
      <c r="C33">
        <v>205</v>
      </c>
      <c r="D33">
        <v>0.2</v>
      </c>
      <c r="E33">
        <v>10000</v>
      </c>
      <c r="F33">
        <v>110</v>
      </c>
      <c r="G33">
        <f t="shared" si="2"/>
        <v>150</v>
      </c>
      <c r="H33">
        <v>8</v>
      </c>
      <c r="I33">
        <f t="shared" si="3"/>
        <v>13.75</v>
      </c>
      <c r="J33">
        <f>SQRT(12*(1-0.3^2)*I33^2*N33/(4*PI()^2*O33))</f>
        <v>0.28906822465146947</v>
      </c>
      <c r="K33">
        <f t="shared" si="44"/>
        <v>0.27500000000000002</v>
      </c>
      <c r="L33">
        <f t="shared" si="0"/>
        <v>10</v>
      </c>
      <c r="M33">
        <v>2.5</v>
      </c>
      <c r="N33">
        <f t="shared" si="5"/>
        <v>325</v>
      </c>
      <c r="O33">
        <f>193000*D33+(1-D33)*206000</f>
        <v>203400</v>
      </c>
      <c r="P33">
        <f>H33*I33*H33*4</f>
        <v>3520</v>
      </c>
      <c r="Q33">
        <f>PI()*(M33*H33)^2-PI()*((M33-1)*H33)^2</f>
        <v>804.24771931898704</v>
      </c>
      <c r="R33">
        <f t="shared" si="49"/>
        <v>4324.247719318987</v>
      </c>
      <c r="S33">
        <f t="shared" si="7"/>
        <v>14118333.707433984</v>
      </c>
      <c r="T33">
        <f t="shared" si="50"/>
        <v>57.139500414724267</v>
      </c>
      <c r="U33">
        <f t="shared" si="51"/>
        <v>175.01028058381661</v>
      </c>
      <c r="V33">
        <f t="shared" si="52"/>
        <v>2.226793241853108</v>
      </c>
      <c r="W33">
        <f t="shared" si="53"/>
        <v>1405.3805087786709</v>
      </c>
      <c r="X33">
        <v>258.7</v>
      </c>
      <c r="Y33">
        <f t="shared" si="12"/>
        <v>0.18407826092936219</v>
      </c>
      <c r="Z33" t="str">
        <f t="shared" si="13"/>
        <v>LC-L32</v>
      </c>
      <c r="AA33">
        <f t="shared" si="14"/>
        <v>490</v>
      </c>
      <c r="AB33">
        <f>C33/(0.2+185*C33/193000)</f>
        <v>517.02058150931066</v>
      </c>
      <c r="AC33">
        <f t="shared" si="15"/>
        <v>519.7880493042129</v>
      </c>
      <c r="AD33">
        <f t="shared" si="16"/>
        <v>325.88344850615891</v>
      </c>
      <c r="AE33">
        <f t="shared" si="17"/>
        <v>473.25094511267991</v>
      </c>
      <c r="AF33">
        <f t="shared" si="54"/>
        <v>1524.610993272428</v>
      </c>
      <c r="AG33">
        <f t="shared" si="1"/>
        <v>0.16968262798940326</v>
      </c>
    </row>
    <row r="34" spans="1:33" x14ac:dyDescent="0.25">
      <c r="A34">
        <v>33</v>
      </c>
      <c r="B34">
        <v>355</v>
      </c>
      <c r="C34">
        <v>205</v>
      </c>
      <c r="D34">
        <v>0.2</v>
      </c>
      <c r="E34">
        <v>12000</v>
      </c>
      <c r="F34">
        <v>110</v>
      </c>
      <c r="G34">
        <f t="shared" si="2"/>
        <v>150</v>
      </c>
      <c r="H34">
        <v>8</v>
      </c>
      <c r="I34">
        <f t="shared" si="3"/>
        <v>13.75</v>
      </c>
      <c r="J34">
        <f t="shared" ref="J34" si="55">SQRT(12*(1-0.3^2)*I34^2*N34/(4*PI()^2*O34))</f>
        <v>0.28906822465146947</v>
      </c>
      <c r="K34">
        <f t="shared" si="44"/>
        <v>0.27500000000000002</v>
      </c>
      <c r="L34">
        <f t="shared" si="0"/>
        <v>12</v>
      </c>
      <c r="M34">
        <v>2.5</v>
      </c>
      <c r="N34">
        <f t="shared" si="5"/>
        <v>325</v>
      </c>
      <c r="O34">
        <f t="shared" ref="O34" si="56">193000*D34+(1-D34)*206000</f>
        <v>203400</v>
      </c>
      <c r="P34">
        <f t="shared" ref="P34" si="57">H34*I34*H34*4</f>
        <v>3520</v>
      </c>
      <c r="Q34">
        <f t="shared" ref="Q34" si="58">PI()*(M34*H34)^2-PI()*((M34-1)*H34)^2</f>
        <v>804.24771931898704</v>
      </c>
      <c r="R34">
        <f t="shared" si="49"/>
        <v>4324.247719318987</v>
      </c>
      <c r="S34">
        <f t="shared" si="7"/>
        <v>14118333.707433984</v>
      </c>
      <c r="T34">
        <f t="shared" si="50"/>
        <v>57.139500414724267</v>
      </c>
      <c r="U34">
        <f t="shared" si="51"/>
        <v>210.01233670057994</v>
      </c>
      <c r="V34">
        <f t="shared" si="52"/>
        <v>2.6721518902237298</v>
      </c>
      <c r="W34">
        <f t="shared" si="53"/>
        <v>1405.3805087786709</v>
      </c>
      <c r="X34">
        <v>183</v>
      </c>
      <c r="Y34">
        <f t="shared" si="12"/>
        <v>0.13021384518775911</v>
      </c>
      <c r="Z34" t="str">
        <f t="shared" si="13"/>
        <v>LC-L33</v>
      </c>
      <c r="AA34">
        <f t="shared" si="14"/>
        <v>490</v>
      </c>
      <c r="AB34">
        <f t="shared" ref="AB34" si="59">C34/(0.2+185*C34/193000)</f>
        <v>517.02058150931066</v>
      </c>
      <c r="AC34">
        <f t="shared" si="15"/>
        <v>519.7880493042129</v>
      </c>
      <c r="AD34">
        <f t="shared" si="16"/>
        <v>325.88344850615891</v>
      </c>
      <c r="AE34">
        <f t="shared" si="17"/>
        <v>473.25094511267991</v>
      </c>
      <c r="AF34">
        <f t="shared" si="54"/>
        <v>1524.610993272428</v>
      </c>
      <c r="AG34">
        <f t="shared" si="1"/>
        <v>0.12003061817572785</v>
      </c>
    </row>
    <row r="35" spans="1:33" s="4" customFormat="1" x14ac:dyDescent="0.25"/>
    <row r="36" spans="1:33" s="4" customFormat="1" x14ac:dyDescent="0.25"/>
    <row r="37" spans="1:33" s="4" customFormat="1" x14ac:dyDescent="0.25"/>
    <row r="38" spans="1:33" s="4" customFormat="1" x14ac:dyDescent="0.25"/>
    <row r="39" spans="1:33" s="4" customFormat="1" x14ac:dyDescent="0.25"/>
    <row r="40" spans="1:33" s="4" customFormat="1" x14ac:dyDescent="0.25"/>
    <row r="41" spans="1:33" s="4" customFormat="1" x14ac:dyDescent="0.25"/>
    <row r="42" spans="1:33" s="4" customFormat="1" x14ac:dyDescent="0.25"/>
    <row r="43" spans="1:33" s="4" customFormat="1" x14ac:dyDescent="0.25"/>
    <row r="44" spans="1:33" s="4" customFormat="1" x14ac:dyDescent="0.25"/>
    <row r="45" spans="1:33" s="4" customFormat="1" x14ac:dyDescent="0.25"/>
    <row r="46" spans="1:33" s="4" customFormat="1" x14ac:dyDescent="0.25"/>
    <row r="47" spans="1:33" s="4" customFormat="1" x14ac:dyDescent="0.25"/>
    <row r="48" spans="1:33" s="4" customFormat="1" x14ac:dyDescent="0.25"/>
    <row r="49" s="4" customFormat="1" x14ac:dyDescent="0.25"/>
    <row r="50" s="4" customFormat="1" x14ac:dyDescent="0.25"/>
    <row r="51" s="4" customFormat="1" x14ac:dyDescent="0.25"/>
    <row r="52" s="4" customFormat="1" x14ac:dyDescent="0.25"/>
    <row r="53" s="4" customFormat="1" x14ac:dyDescent="0.25"/>
    <row r="54" s="4" customFormat="1" x14ac:dyDescent="0.25"/>
    <row r="55" s="4" customFormat="1" x14ac:dyDescent="0.25"/>
    <row r="56" s="4" customFormat="1" x14ac:dyDescent="0.25"/>
    <row r="57" s="4" customFormat="1" x14ac:dyDescent="0.25"/>
    <row r="58" s="4" customFormat="1" x14ac:dyDescent="0.25"/>
    <row r="59" s="4" customFormat="1" x14ac:dyDescent="0.25"/>
    <row r="60" s="4" customFormat="1" x14ac:dyDescent="0.25"/>
    <row r="61" s="4" customFormat="1" x14ac:dyDescent="0.25"/>
    <row r="62" s="4" customFormat="1" x14ac:dyDescent="0.25"/>
    <row r="63" s="4" customFormat="1" x14ac:dyDescent="0.25"/>
    <row r="64" s="4" customFormat="1" x14ac:dyDescent="0.25"/>
    <row r="65" s="4" customFormat="1" x14ac:dyDescent="0.25"/>
    <row r="66" s="4" customFormat="1" x14ac:dyDescent="0.25"/>
    <row r="67" s="4" customFormat="1" x14ac:dyDescent="0.25"/>
    <row r="68" s="4" customFormat="1" x14ac:dyDescent="0.25"/>
    <row r="69" s="4" customFormat="1" x14ac:dyDescent="0.25"/>
    <row r="70" s="4" customFormat="1" x14ac:dyDescent="0.25"/>
    <row r="71" s="4" customFormat="1" x14ac:dyDescent="0.25"/>
    <row r="72" s="4" customFormat="1" x14ac:dyDescent="0.25"/>
    <row r="73" s="4" customFormat="1" x14ac:dyDescent="0.25"/>
    <row r="74" s="4" customFormat="1" x14ac:dyDescent="0.25"/>
    <row r="75" s="4" customFormat="1" x14ac:dyDescent="0.25"/>
    <row r="76" s="4" customFormat="1" x14ac:dyDescent="0.25"/>
    <row r="77" s="4" customFormat="1" x14ac:dyDescent="0.25"/>
    <row r="78" s="4" customFormat="1" x14ac:dyDescent="0.25"/>
    <row r="79" s="4" customFormat="1" x14ac:dyDescent="0.25"/>
    <row r="80" s="4" customFormat="1" x14ac:dyDescent="0.25"/>
    <row r="81" s="4" customFormat="1" x14ac:dyDescent="0.25"/>
    <row r="82" s="4" customFormat="1" x14ac:dyDescent="0.25"/>
    <row r="83" s="4" customFormat="1" x14ac:dyDescent="0.25"/>
    <row r="84" s="4" customFormat="1" x14ac:dyDescent="0.25"/>
    <row r="85" s="4" customFormat="1" x14ac:dyDescent="0.25"/>
    <row r="86" s="4" customFormat="1" x14ac:dyDescent="0.25"/>
    <row r="87" s="4" customFormat="1" x14ac:dyDescent="0.25"/>
    <row r="88" s="4" customFormat="1" x14ac:dyDescent="0.25"/>
    <row r="89" s="4" customFormat="1" x14ac:dyDescent="0.25"/>
    <row r="90" s="4" customFormat="1" x14ac:dyDescent="0.25"/>
    <row r="91" s="4" customFormat="1" x14ac:dyDescent="0.25"/>
    <row r="92" s="4" customFormat="1" x14ac:dyDescent="0.25"/>
    <row r="93" s="4" customFormat="1" x14ac:dyDescent="0.25"/>
    <row r="94" s="4" customFormat="1" x14ac:dyDescent="0.25"/>
    <row r="95" s="4" customFormat="1" x14ac:dyDescent="0.25"/>
    <row r="96" s="4" customFormat="1" x14ac:dyDescent="0.25"/>
    <row r="97" s="4" customFormat="1" x14ac:dyDescent="0.25"/>
    <row r="98" s="4" customFormat="1" x14ac:dyDescent="0.25"/>
    <row r="99" s="4" customFormat="1" x14ac:dyDescent="0.25"/>
    <row r="100" s="4" customFormat="1" x14ac:dyDescent="0.25"/>
    <row r="101" s="4" customFormat="1" x14ac:dyDescent="0.25"/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6B11F-4590-4780-AE59-E5424DA10A8A}">
  <dimension ref="A1:AH67"/>
  <sheetViews>
    <sheetView zoomScale="55" zoomScaleNormal="55" workbookViewId="0">
      <selection activeCell="T32" sqref="T32"/>
    </sheetView>
  </sheetViews>
  <sheetFormatPr defaultRowHeight="13.8" x14ac:dyDescent="0.25"/>
  <sheetData>
    <row r="1" spans="1:34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30</v>
      </c>
      <c r="F1" s="1" t="s">
        <v>31</v>
      </c>
      <c r="G1" t="s">
        <v>4</v>
      </c>
      <c r="H1" s="4" t="s">
        <v>5</v>
      </c>
      <c r="I1" s="4" t="s">
        <v>6</v>
      </c>
      <c r="J1" s="6" t="s">
        <v>26</v>
      </c>
      <c r="K1" s="1" t="s">
        <v>25</v>
      </c>
      <c r="L1" s="1" t="s">
        <v>24</v>
      </c>
      <c r="M1" s="1" t="s">
        <v>22</v>
      </c>
      <c r="N1" t="s">
        <v>7</v>
      </c>
      <c r="O1" t="s">
        <v>8</v>
      </c>
      <c r="P1" t="s">
        <v>9</v>
      </c>
      <c r="Q1" t="s">
        <v>10</v>
      </c>
      <c r="R1" t="s">
        <v>11</v>
      </c>
      <c r="S1" t="s">
        <v>28</v>
      </c>
      <c r="T1" t="s">
        <v>23</v>
      </c>
      <c r="U1" t="s">
        <v>29</v>
      </c>
      <c r="V1" t="s">
        <v>37</v>
      </c>
      <c r="W1" s="5" t="s">
        <v>27</v>
      </c>
      <c r="X1" s="2" t="s">
        <v>12</v>
      </c>
      <c r="Y1" s="2" t="s">
        <v>13</v>
      </c>
      <c r="Z1" s="3" t="s">
        <v>14</v>
      </c>
      <c r="AA1" s="3" t="s">
        <v>32</v>
      </c>
      <c r="AB1" t="s">
        <v>15</v>
      </c>
      <c r="AC1" t="s">
        <v>16</v>
      </c>
      <c r="AD1" t="s">
        <v>17</v>
      </c>
      <c r="AE1" t="s">
        <v>18</v>
      </c>
      <c r="AF1" t="s">
        <v>19</v>
      </c>
      <c r="AG1" s="2" t="s">
        <v>20</v>
      </c>
      <c r="AH1" s="3" t="s">
        <v>21</v>
      </c>
    </row>
    <row r="2" spans="1:34" x14ac:dyDescent="0.25">
      <c r="A2">
        <v>1</v>
      </c>
      <c r="B2">
        <v>355</v>
      </c>
      <c r="C2">
        <v>205</v>
      </c>
      <c r="D2">
        <v>0.2</v>
      </c>
      <c r="E2">
        <v>1000</v>
      </c>
      <c r="F2">
        <v>110</v>
      </c>
      <c r="G2">
        <f>F2+2*H2*M2</f>
        <v>150</v>
      </c>
      <c r="H2">
        <v>8</v>
      </c>
      <c r="I2">
        <f>F2/H2</f>
        <v>13.75</v>
      </c>
      <c r="J2">
        <f>SQRT(12*(1-0.3^2)*I2^2*N2/(4*PI()^2*O2))</f>
        <v>0.28906822465146947</v>
      </c>
      <c r="K2">
        <f>H2*I2/200</f>
        <v>0.55000000000000004</v>
      </c>
      <c r="L2">
        <f t="shared" ref="L2:L12" si="0">E2/1000</f>
        <v>1</v>
      </c>
      <c r="M2">
        <v>2.5</v>
      </c>
      <c r="N2">
        <f>D2*C2+(1-D2)*B2</f>
        <v>325</v>
      </c>
      <c r="O2">
        <f>193000*D2+(1-D2)*206000</f>
        <v>203400</v>
      </c>
      <c r="P2">
        <f>H2*I2*H2*4</f>
        <v>3520</v>
      </c>
      <c r="Q2">
        <f>PI()*(M2*H2)^2-PI()*((M2-1)*H2)^2</f>
        <v>804.24771931898704</v>
      </c>
      <c r="R2">
        <f>P2+Q2</f>
        <v>4324.247719318987</v>
      </c>
      <c r="S2">
        <f>1/12*H2*(H2*I2)^3*2+(1/12*(H2*I2)*H2^3+(H2*I2)*H2*(G2/2-H2/2)^2)*2+PI()/8*((M2*H2)^4-((M2-1)*H2)^4)*2+1/2*PI()*((M2*H2)^2-((M2-1)*H2)^2)*(-1*((4*((M2*H2)^3-((M2-1)*H2)^3))/(3*PI()*((M2*H2)^2-((M2-1)*H2)^2)))^2+1*((4*((M2*H2)^3-((M2-1)*H2)^3))/(3*PI()*((M2*H2)^2-((M2-1)*H2)^2))+H2*I2/2)^2)*2</f>
        <v>14118333.707433984</v>
      </c>
      <c r="T2">
        <f>SQRT(S2/R2)</f>
        <v>57.139500414724267</v>
      </c>
      <c r="U2">
        <f>E2/T2</f>
        <v>17.50102805838166</v>
      </c>
      <c r="V2" t="s">
        <v>34</v>
      </c>
      <c r="W2">
        <f>U2/PI()*SQRT(N2/O2)</f>
        <v>0.22267932418531081</v>
      </c>
      <c r="X2">
        <f>R2*N2/1000</f>
        <v>1405.3805087786709</v>
      </c>
      <c r="Y2">
        <v>1484.1</v>
      </c>
      <c r="Z2">
        <f t="shared" ref="Z2:Z22" si="1">Y2/X2</f>
        <v>1.0560129379407284</v>
      </c>
      <c r="AA2" t="str">
        <f t="shared" ref="AA2:AA22" si="2">"LC-R"&amp;A2</f>
        <v>LC-R1</v>
      </c>
      <c r="AB2">
        <f t="shared" ref="AB2:AB22" si="3">IF(B2=235,360,IF(B2=355,490,560))</f>
        <v>490</v>
      </c>
      <c r="AC2">
        <f t="shared" ref="AC2:AC22" si="4">C2/(0.2+185*C2/193000)</f>
        <v>517.02058150931066</v>
      </c>
      <c r="AD2">
        <f t="shared" ref="AD2:AD22" si="5">B2*(2.769*(AB2/B2)-0.581*(AB2/B2)^2-1.182)/((M2-1)^(0.314*(AB2/B2)-0.32))</f>
        <v>519.7880493042129</v>
      </c>
      <c r="AE2">
        <f t="shared" ref="AE2:AE22" si="6">1.673*C2/(M2-1)^0.126</f>
        <v>325.88344850615891</v>
      </c>
      <c r="AF2">
        <f t="shared" ref="AF2:AF22" si="7">AD2*(1-((2*M2*H2-D2*H2)/(2*M2*H2-H2)*D2))+AE2*((2*M2*H2-D2*H2)/(2*M2*H2-H2)*D2)</f>
        <v>473.25094511267991</v>
      </c>
      <c r="AG2">
        <f t="shared" ref="AG2:AG22" si="8">(AF2*Q2+N2*P2)/1000</f>
        <v>1524.610993272428</v>
      </c>
      <c r="AH2">
        <f t="shared" ref="AH2:AH22" si="9">Y2/AG2</f>
        <v>0.97342863625463227</v>
      </c>
    </row>
    <row r="3" spans="1:34" x14ac:dyDescent="0.25">
      <c r="A3">
        <v>2</v>
      </c>
      <c r="B3">
        <v>355</v>
      </c>
      <c r="C3">
        <v>205</v>
      </c>
      <c r="D3">
        <v>0.2</v>
      </c>
      <c r="E3">
        <v>2000</v>
      </c>
      <c r="F3">
        <v>110</v>
      </c>
      <c r="G3">
        <f t="shared" ref="G3:G12" si="10">F3+2*H3*M3</f>
        <v>150</v>
      </c>
      <c r="H3">
        <v>8</v>
      </c>
      <c r="I3">
        <f t="shared" ref="I3:I23" si="11">F3/H3</f>
        <v>13.75</v>
      </c>
      <c r="J3">
        <f>SQRT(12*(1-0.3^2)*I3^2*N3/(4*PI()^2*O3))</f>
        <v>0.28906822465146947</v>
      </c>
      <c r="K3">
        <f t="shared" ref="K3:K12" si="12">H3*I3/200</f>
        <v>0.55000000000000004</v>
      </c>
      <c r="L3">
        <f t="shared" si="0"/>
        <v>2</v>
      </c>
      <c r="M3">
        <v>2.5</v>
      </c>
      <c r="N3">
        <f t="shared" ref="N3:N12" si="13">D3*C3+(1-D3)*B3</f>
        <v>325</v>
      </c>
      <c r="O3">
        <f>193000*D3+(1-D3)*206000</f>
        <v>203400</v>
      </c>
      <c r="P3">
        <f>H3*I3*H3*4</f>
        <v>3520</v>
      </c>
      <c r="Q3">
        <f>PI()*(M3*H3)^2-PI()*((M3-1)*H3)^2</f>
        <v>804.24771931898704</v>
      </c>
      <c r="R3">
        <f t="shared" ref="R3:R12" si="14">P3+Q3</f>
        <v>4324.247719318987</v>
      </c>
      <c r="S3">
        <f t="shared" ref="S3:S23" si="15">1/12*H3*(H3*I3)^3*2+(1/12*(H3*I3)*H3^3+(H3*I3)*H3*(G3/2-H3/2)^2)*2+PI()/8*((M3*H3)^4-((M3-1)*H3)^4)*2+1/2*PI()*((M3*H3)^2-((M3-1)*H3)^2)*(-1*((4*((M3*H3)^3-((M3-1)*H3)^3))/(3*PI()*((M3*H3)^2-((M3-1)*H3)^2)))^2+1*((4*((M3*H3)^3-((M3-1)*H3)^3))/(3*PI()*((M3*H3)^2-((M3-1)*H3)^2))+H3*I3/2)^2)*2</f>
        <v>14118333.707433984</v>
      </c>
      <c r="T3">
        <f t="shared" ref="T3:T12" si="16">SQRT(S3/R3)</f>
        <v>57.139500414724267</v>
      </c>
      <c r="U3">
        <f t="shared" ref="U3:U12" si="17">E3/T3</f>
        <v>35.00205611676332</v>
      </c>
      <c r="W3">
        <f t="shared" ref="W3:W12" si="18">U3/PI()*SQRT(N3/O3)</f>
        <v>0.44535864837062161</v>
      </c>
      <c r="X3">
        <f t="shared" ref="X3:X12" si="19">R3*N3/1000</f>
        <v>1405.3805087786709</v>
      </c>
      <c r="Y3">
        <v>1277.2</v>
      </c>
      <c r="Z3">
        <f t="shared" si="1"/>
        <v>0.90879302226123471</v>
      </c>
      <c r="AA3" t="str">
        <f t="shared" si="2"/>
        <v>LC-R2</v>
      </c>
      <c r="AB3">
        <f t="shared" si="3"/>
        <v>490</v>
      </c>
      <c r="AC3">
        <f t="shared" si="4"/>
        <v>517.02058150931066</v>
      </c>
      <c r="AD3">
        <f t="shared" si="5"/>
        <v>519.7880493042129</v>
      </c>
      <c r="AE3">
        <f t="shared" si="6"/>
        <v>325.88344850615891</v>
      </c>
      <c r="AF3">
        <f t="shared" si="7"/>
        <v>473.25094511267991</v>
      </c>
      <c r="AG3">
        <f t="shared" si="8"/>
        <v>1524.610993272428</v>
      </c>
      <c r="AH3">
        <f t="shared" si="9"/>
        <v>0.83772188816415094</v>
      </c>
    </row>
    <row r="4" spans="1:34" x14ac:dyDescent="0.25">
      <c r="A4">
        <v>3</v>
      </c>
      <c r="B4">
        <v>355</v>
      </c>
      <c r="C4">
        <v>205</v>
      </c>
      <c r="D4">
        <v>0.2</v>
      </c>
      <c r="E4">
        <v>3000</v>
      </c>
      <c r="F4">
        <v>110</v>
      </c>
      <c r="G4">
        <f t="shared" si="10"/>
        <v>150</v>
      </c>
      <c r="H4">
        <v>8</v>
      </c>
      <c r="I4">
        <f t="shared" si="11"/>
        <v>13.75</v>
      </c>
      <c r="J4">
        <f>SQRT(12*(1-0.3^2)*I4^2*N4/(4*PI()^2*O4))</f>
        <v>0.28906822465146947</v>
      </c>
      <c r="K4">
        <f t="shared" si="12"/>
        <v>0.55000000000000004</v>
      </c>
      <c r="L4">
        <f t="shared" si="0"/>
        <v>3</v>
      </c>
      <c r="M4">
        <v>2.5</v>
      </c>
      <c r="N4">
        <f t="shared" si="13"/>
        <v>325</v>
      </c>
      <c r="O4">
        <f>193000*D4+(1-D4)*206000</f>
        <v>203400</v>
      </c>
      <c r="P4">
        <f>H4*I4*H4*4</f>
        <v>3520</v>
      </c>
      <c r="Q4">
        <f>PI()*(M4*H4)^2-PI()*((M4-1)*H4)^2</f>
        <v>804.24771931898704</v>
      </c>
      <c r="R4">
        <f t="shared" si="14"/>
        <v>4324.247719318987</v>
      </c>
      <c r="S4">
        <f t="shared" si="15"/>
        <v>14118333.707433984</v>
      </c>
      <c r="T4">
        <f t="shared" si="16"/>
        <v>57.139500414724267</v>
      </c>
      <c r="U4">
        <f t="shared" si="17"/>
        <v>52.503084175144984</v>
      </c>
      <c r="W4">
        <f t="shared" si="18"/>
        <v>0.66803797255593245</v>
      </c>
      <c r="X4">
        <f t="shared" si="19"/>
        <v>1405.3805087786709</v>
      </c>
      <c r="Y4">
        <v>1116.5999999999999</v>
      </c>
      <c r="Z4">
        <f t="shared" si="1"/>
        <v>0.79451792096531049</v>
      </c>
      <c r="AA4" t="str">
        <f t="shared" si="2"/>
        <v>LC-R3</v>
      </c>
      <c r="AB4">
        <f t="shared" si="3"/>
        <v>490</v>
      </c>
      <c r="AC4">
        <f t="shared" si="4"/>
        <v>517.02058150931066</v>
      </c>
      <c r="AD4">
        <f t="shared" si="5"/>
        <v>519.7880493042129</v>
      </c>
      <c r="AE4">
        <f t="shared" si="6"/>
        <v>325.88344850615891</v>
      </c>
      <c r="AF4">
        <f t="shared" si="7"/>
        <v>473.25094511267991</v>
      </c>
      <c r="AG4">
        <f t="shared" si="8"/>
        <v>1524.610993272428</v>
      </c>
      <c r="AH4">
        <f t="shared" si="9"/>
        <v>0.73238354237714598</v>
      </c>
    </row>
    <row r="5" spans="1:34" x14ac:dyDescent="0.25">
      <c r="A5">
        <v>4</v>
      </c>
      <c r="B5">
        <v>355</v>
      </c>
      <c r="C5">
        <v>205</v>
      </c>
      <c r="D5">
        <v>0.2</v>
      </c>
      <c r="E5">
        <v>4000</v>
      </c>
      <c r="F5">
        <v>110</v>
      </c>
      <c r="G5">
        <f t="shared" si="10"/>
        <v>150</v>
      </c>
      <c r="H5">
        <v>8</v>
      </c>
      <c r="I5">
        <f t="shared" si="11"/>
        <v>13.75</v>
      </c>
      <c r="J5">
        <f t="shared" ref="J5:J12" si="20">SQRT(12*(1-0.3^2)*I5^2*N5/(4*PI()^2*O5))</f>
        <v>0.28906822465146947</v>
      </c>
      <c r="K5">
        <f t="shared" si="12"/>
        <v>0.55000000000000004</v>
      </c>
      <c r="L5">
        <f t="shared" si="0"/>
        <v>4</v>
      </c>
      <c r="M5">
        <v>2.5</v>
      </c>
      <c r="N5">
        <f t="shared" si="13"/>
        <v>325</v>
      </c>
      <c r="O5">
        <f t="shared" ref="O5:O12" si="21">193000*D5+(1-D5)*206000</f>
        <v>203400</v>
      </c>
      <c r="P5">
        <f t="shared" ref="P5:P12" si="22">H5*I5*H5*4</f>
        <v>3520</v>
      </c>
      <c r="Q5">
        <f t="shared" ref="Q5:Q12" si="23">PI()*(M5*H5)^2-PI()*((M5-1)*H5)^2</f>
        <v>804.24771931898704</v>
      </c>
      <c r="R5">
        <f t="shared" si="14"/>
        <v>4324.247719318987</v>
      </c>
      <c r="S5">
        <f t="shared" si="15"/>
        <v>14118333.707433984</v>
      </c>
      <c r="T5">
        <f t="shared" si="16"/>
        <v>57.139500414724267</v>
      </c>
      <c r="U5">
        <f t="shared" si="17"/>
        <v>70.004112233526641</v>
      </c>
      <c r="W5">
        <f t="shared" si="18"/>
        <v>0.89071729674124323</v>
      </c>
      <c r="X5">
        <f t="shared" si="19"/>
        <v>1405.3805087786709</v>
      </c>
      <c r="Y5">
        <v>962.3</v>
      </c>
      <c r="Z5">
        <f t="shared" si="1"/>
        <v>0.68472559138896505</v>
      </c>
      <c r="AA5" t="str">
        <f t="shared" si="2"/>
        <v>LC-R4</v>
      </c>
      <c r="AB5">
        <f t="shared" si="3"/>
        <v>490</v>
      </c>
      <c r="AC5">
        <f t="shared" si="4"/>
        <v>517.02058150931066</v>
      </c>
      <c r="AD5">
        <f t="shared" si="5"/>
        <v>519.7880493042129</v>
      </c>
      <c r="AE5">
        <f t="shared" si="6"/>
        <v>325.88344850615891</v>
      </c>
      <c r="AF5">
        <f t="shared" si="7"/>
        <v>473.25094511267991</v>
      </c>
      <c r="AG5">
        <f t="shared" si="8"/>
        <v>1524.610993272428</v>
      </c>
      <c r="AH5">
        <f t="shared" si="9"/>
        <v>0.6311773981994695</v>
      </c>
    </row>
    <row r="6" spans="1:34" x14ac:dyDescent="0.25">
      <c r="A6">
        <v>5</v>
      </c>
      <c r="B6">
        <v>355</v>
      </c>
      <c r="C6">
        <v>205</v>
      </c>
      <c r="D6">
        <v>0.2</v>
      </c>
      <c r="E6">
        <v>5000</v>
      </c>
      <c r="F6">
        <v>110</v>
      </c>
      <c r="G6">
        <f t="shared" si="10"/>
        <v>150</v>
      </c>
      <c r="H6">
        <v>8</v>
      </c>
      <c r="I6">
        <f t="shared" si="11"/>
        <v>13.75</v>
      </c>
      <c r="J6">
        <f t="shared" si="20"/>
        <v>0.28906822465146947</v>
      </c>
      <c r="K6">
        <f t="shared" si="12"/>
        <v>0.55000000000000004</v>
      </c>
      <c r="L6">
        <f t="shared" si="0"/>
        <v>5</v>
      </c>
      <c r="M6">
        <v>2.5</v>
      </c>
      <c r="N6">
        <f t="shared" si="13"/>
        <v>325</v>
      </c>
      <c r="O6">
        <f t="shared" si="21"/>
        <v>203400</v>
      </c>
      <c r="P6">
        <f t="shared" si="22"/>
        <v>3520</v>
      </c>
      <c r="Q6">
        <f t="shared" si="23"/>
        <v>804.24771931898704</v>
      </c>
      <c r="R6">
        <f t="shared" si="14"/>
        <v>4324.247719318987</v>
      </c>
      <c r="S6">
        <f t="shared" si="15"/>
        <v>14118333.707433984</v>
      </c>
      <c r="T6">
        <f t="shared" si="16"/>
        <v>57.139500414724267</v>
      </c>
      <c r="U6">
        <f t="shared" si="17"/>
        <v>87.505140291908305</v>
      </c>
      <c r="W6">
        <f t="shared" si="18"/>
        <v>1.113396620926554</v>
      </c>
      <c r="X6">
        <f t="shared" si="19"/>
        <v>1405.3805087786709</v>
      </c>
      <c r="Y6">
        <v>799.9</v>
      </c>
      <c r="Z6">
        <f t="shared" si="1"/>
        <v>0.56916969817316132</v>
      </c>
      <c r="AA6" t="str">
        <f t="shared" si="2"/>
        <v>LC-R5</v>
      </c>
      <c r="AB6">
        <f t="shared" si="3"/>
        <v>490</v>
      </c>
      <c r="AC6">
        <f t="shared" si="4"/>
        <v>517.02058150931066</v>
      </c>
      <c r="AD6">
        <f t="shared" si="5"/>
        <v>519.7880493042129</v>
      </c>
      <c r="AE6">
        <f t="shared" si="6"/>
        <v>325.88344850615891</v>
      </c>
      <c r="AF6">
        <f t="shared" si="7"/>
        <v>473.25094511267991</v>
      </c>
      <c r="AG6">
        <f t="shared" si="8"/>
        <v>1524.610993272428</v>
      </c>
      <c r="AH6">
        <f t="shared" si="9"/>
        <v>0.52465842338122792</v>
      </c>
    </row>
    <row r="7" spans="1:34" x14ac:dyDescent="0.25">
      <c r="A7">
        <v>6</v>
      </c>
      <c r="B7">
        <v>355</v>
      </c>
      <c r="C7">
        <v>205</v>
      </c>
      <c r="D7">
        <v>0.2</v>
      </c>
      <c r="E7">
        <v>6000</v>
      </c>
      <c r="F7">
        <v>110</v>
      </c>
      <c r="G7">
        <f t="shared" si="10"/>
        <v>150</v>
      </c>
      <c r="H7">
        <v>8</v>
      </c>
      <c r="I7">
        <f t="shared" si="11"/>
        <v>13.75</v>
      </c>
      <c r="J7">
        <f t="shared" si="20"/>
        <v>0.28906822465146947</v>
      </c>
      <c r="K7">
        <f t="shared" si="12"/>
        <v>0.55000000000000004</v>
      </c>
      <c r="L7">
        <f t="shared" si="0"/>
        <v>6</v>
      </c>
      <c r="M7">
        <v>2.5</v>
      </c>
      <c r="N7">
        <f t="shared" si="13"/>
        <v>325</v>
      </c>
      <c r="O7">
        <f t="shared" si="21"/>
        <v>203400</v>
      </c>
      <c r="P7">
        <f t="shared" si="22"/>
        <v>3520</v>
      </c>
      <c r="Q7">
        <f t="shared" si="23"/>
        <v>804.24771931898704</v>
      </c>
      <c r="R7">
        <f t="shared" si="14"/>
        <v>4324.247719318987</v>
      </c>
      <c r="S7">
        <f t="shared" si="15"/>
        <v>14118333.707433984</v>
      </c>
      <c r="T7">
        <f t="shared" si="16"/>
        <v>57.139500414724267</v>
      </c>
      <c r="U7">
        <f t="shared" si="17"/>
        <v>105.00616835028997</v>
      </c>
      <c r="W7">
        <f t="shared" si="18"/>
        <v>1.3360759451118649</v>
      </c>
      <c r="X7">
        <f t="shared" si="19"/>
        <v>1405.3805087786709</v>
      </c>
      <c r="Y7">
        <v>629.6</v>
      </c>
      <c r="Z7">
        <f t="shared" si="1"/>
        <v>0.44799255153121936</v>
      </c>
      <c r="AA7" t="str">
        <f t="shared" si="2"/>
        <v>LC-R6</v>
      </c>
      <c r="AB7">
        <f t="shared" si="3"/>
        <v>490</v>
      </c>
      <c r="AC7">
        <f t="shared" si="4"/>
        <v>517.02058150931066</v>
      </c>
      <c r="AD7">
        <f t="shared" si="5"/>
        <v>519.7880493042129</v>
      </c>
      <c r="AE7">
        <f t="shared" si="6"/>
        <v>325.88344850615891</v>
      </c>
      <c r="AF7">
        <f t="shared" si="7"/>
        <v>473.25094511267991</v>
      </c>
      <c r="AG7">
        <f t="shared" si="8"/>
        <v>1524.610993272428</v>
      </c>
      <c r="AH7">
        <f t="shared" si="9"/>
        <v>0.41295779892589213</v>
      </c>
    </row>
    <row r="8" spans="1:34" x14ac:dyDescent="0.25">
      <c r="A8">
        <v>7</v>
      </c>
      <c r="B8">
        <v>355</v>
      </c>
      <c r="C8">
        <v>205</v>
      </c>
      <c r="D8">
        <v>0.2</v>
      </c>
      <c r="E8">
        <v>7000</v>
      </c>
      <c r="F8">
        <v>110</v>
      </c>
      <c r="G8">
        <f t="shared" si="10"/>
        <v>150</v>
      </c>
      <c r="H8">
        <v>8</v>
      </c>
      <c r="I8">
        <f t="shared" si="11"/>
        <v>13.75</v>
      </c>
      <c r="J8">
        <f t="shared" si="20"/>
        <v>0.28906822465146947</v>
      </c>
      <c r="K8">
        <f t="shared" si="12"/>
        <v>0.55000000000000004</v>
      </c>
      <c r="L8">
        <f t="shared" si="0"/>
        <v>7</v>
      </c>
      <c r="M8">
        <v>2.5</v>
      </c>
      <c r="N8">
        <f t="shared" si="13"/>
        <v>325</v>
      </c>
      <c r="O8">
        <f t="shared" si="21"/>
        <v>203400</v>
      </c>
      <c r="P8">
        <f t="shared" si="22"/>
        <v>3520</v>
      </c>
      <c r="Q8">
        <f t="shared" si="23"/>
        <v>804.24771931898704</v>
      </c>
      <c r="R8">
        <f t="shared" si="14"/>
        <v>4324.247719318987</v>
      </c>
      <c r="S8">
        <f t="shared" si="15"/>
        <v>14118333.707433984</v>
      </c>
      <c r="T8">
        <f t="shared" si="16"/>
        <v>57.139500414724267</v>
      </c>
      <c r="U8">
        <f t="shared" si="17"/>
        <v>122.50719640867163</v>
      </c>
      <c r="W8">
        <f t="shared" si="18"/>
        <v>1.5587552692971756</v>
      </c>
      <c r="X8">
        <f t="shared" si="19"/>
        <v>1405.3805087786709</v>
      </c>
      <c r="Y8">
        <v>493</v>
      </c>
      <c r="Z8">
        <f t="shared" si="1"/>
        <v>0.3507946758336899</v>
      </c>
      <c r="AA8" t="str">
        <f t="shared" si="2"/>
        <v>LC-R7</v>
      </c>
      <c r="AB8">
        <f t="shared" si="3"/>
        <v>490</v>
      </c>
      <c r="AC8">
        <f t="shared" si="4"/>
        <v>517.02058150931066</v>
      </c>
      <c r="AD8">
        <f t="shared" si="5"/>
        <v>519.7880493042129</v>
      </c>
      <c r="AE8">
        <f t="shared" si="6"/>
        <v>325.88344850615891</v>
      </c>
      <c r="AF8">
        <f t="shared" si="7"/>
        <v>473.25094511267991</v>
      </c>
      <c r="AG8">
        <f t="shared" si="8"/>
        <v>1524.610993272428</v>
      </c>
      <c r="AH8">
        <f t="shared" si="9"/>
        <v>0.32336117355537614</v>
      </c>
    </row>
    <row r="9" spans="1:34" x14ac:dyDescent="0.25">
      <c r="A9">
        <v>8</v>
      </c>
      <c r="B9">
        <v>355</v>
      </c>
      <c r="C9">
        <v>205</v>
      </c>
      <c r="D9">
        <v>0.2</v>
      </c>
      <c r="E9">
        <v>8000</v>
      </c>
      <c r="F9">
        <v>110</v>
      </c>
      <c r="G9">
        <f t="shared" si="10"/>
        <v>150</v>
      </c>
      <c r="H9">
        <v>8</v>
      </c>
      <c r="I9">
        <f t="shared" si="11"/>
        <v>13.75</v>
      </c>
      <c r="J9">
        <f t="shared" si="20"/>
        <v>0.28906822465146947</v>
      </c>
      <c r="K9">
        <f t="shared" si="12"/>
        <v>0.55000000000000004</v>
      </c>
      <c r="L9">
        <f t="shared" si="0"/>
        <v>8</v>
      </c>
      <c r="M9">
        <v>2.5</v>
      </c>
      <c r="N9">
        <f t="shared" si="13"/>
        <v>325</v>
      </c>
      <c r="O9">
        <f t="shared" si="21"/>
        <v>203400</v>
      </c>
      <c r="P9">
        <f t="shared" si="22"/>
        <v>3520</v>
      </c>
      <c r="Q9">
        <f t="shared" si="23"/>
        <v>804.24771931898704</v>
      </c>
      <c r="R9">
        <f t="shared" si="14"/>
        <v>4324.247719318987</v>
      </c>
      <c r="S9">
        <f t="shared" si="15"/>
        <v>14118333.707433984</v>
      </c>
      <c r="T9">
        <f t="shared" si="16"/>
        <v>57.139500414724267</v>
      </c>
      <c r="U9">
        <f t="shared" si="17"/>
        <v>140.00822446705328</v>
      </c>
      <c r="W9">
        <f t="shared" si="18"/>
        <v>1.7814345934824865</v>
      </c>
      <c r="X9">
        <f t="shared" si="19"/>
        <v>1405.3805087786709</v>
      </c>
      <c r="Y9">
        <v>390.3</v>
      </c>
      <c r="Z9">
        <f t="shared" si="1"/>
        <v>0.27771838129389281</v>
      </c>
      <c r="AA9" t="str">
        <f t="shared" si="2"/>
        <v>LC-R8</v>
      </c>
      <c r="AB9">
        <f t="shared" si="3"/>
        <v>490</v>
      </c>
      <c r="AC9">
        <f t="shared" si="4"/>
        <v>517.02058150931066</v>
      </c>
      <c r="AD9">
        <f t="shared" si="5"/>
        <v>519.7880493042129</v>
      </c>
      <c r="AE9">
        <f t="shared" si="6"/>
        <v>325.88344850615891</v>
      </c>
      <c r="AF9">
        <f t="shared" si="7"/>
        <v>473.25094511267991</v>
      </c>
      <c r="AG9">
        <f t="shared" si="8"/>
        <v>1524.610993272428</v>
      </c>
      <c r="AH9">
        <f t="shared" si="9"/>
        <v>0.25599972827315076</v>
      </c>
    </row>
    <row r="10" spans="1:34" x14ac:dyDescent="0.25">
      <c r="A10">
        <v>9</v>
      </c>
      <c r="B10">
        <v>355</v>
      </c>
      <c r="C10">
        <v>205</v>
      </c>
      <c r="D10">
        <v>0.2</v>
      </c>
      <c r="E10">
        <v>9000</v>
      </c>
      <c r="F10">
        <v>110</v>
      </c>
      <c r="G10">
        <f t="shared" si="10"/>
        <v>150</v>
      </c>
      <c r="H10">
        <v>8</v>
      </c>
      <c r="I10">
        <f t="shared" si="11"/>
        <v>13.75</v>
      </c>
      <c r="J10">
        <f t="shared" si="20"/>
        <v>0.28906822465146947</v>
      </c>
      <c r="K10">
        <f t="shared" si="12"/>
        <v>0.55000000000000004</v>
      </c>
      <c r="L10">
        <f t="shared" si="0"/>
        <v>9</v>
      </c>
      <c r="M10">
        <v>2.5</v>
      </c>
      <c r="N10">
        <f t="shared" si="13"/>
        <v>325</v>
      </c>
      <c r="O10">
        <f t="shared" si="21"/>
        <v>203400</v>
      </c>
      <c r="P10">
        <f t="shared" si="22"/>
        <v>3520</v>
      </c>
      <c r="Q10">
        <f t="shared" si="23"/>
        <v>804.24771931898704</v>
      </c>
      <c r="R10">
        <f t="shared" si="14"/>
        <v>4324.247719318987</v>
      </c>
      <c r="S10">
        <f t="shared" si="15"/>
        <v>14118333.707433984</v>
      </c>
      <c r="T10">
        <f t="shared" si="16"/>
        <v>57.139500414724267</v>
      </c>
      <c r="U10">
        <f t="shared" si="17"/>
        <v>157.50925252543496</v>
      </c>
      <c r="W10">
        <f t="shared" si="18"/>
        <v>2.0041139176677971</v>
      </c>
      <c r="X10">
        <f t="shared" si="19"/>
        <v>1405.3805087786709</v>
      </c>
      <c r="Y10">
        <v>314.8</v>
      </c>
      <c r="Z10">
        <f t="shared" si="1"/>
        <v>0.22399627576560968</v>
      </c>
      <c r="AA10" t="str">
        <f t="shared" si="2"/>
        <v>LC-R9</v>
      </c>
      <c r="AB10">
        <f t="shared" si="3"/>
        <v>490</v>
      </c>
      <c r="AC10">
        <f t="shared" si="4"/>
        <v>517.02058150931066</v>
      </c>
      <c r="AD10">
        <f t="shared" si="5"/>
        <v>519.7880493042129</v>
      </c>
      <c r="AE10">
        <f t="shared" si="6"/>
        <v>325.88344850615891</v>
      </c>
      <c r="AF10">
        <f t="shared" si="7"/>
        <v>473.25094511267991</v>
      </c>
      <c r="AG10">
        <f t="shared" si="8"/>
        <v>1524.610993272428</v>
      </c>
      <c r="AH10">
        <f t="shared" si="9"/>
        <v>0.20647889946294606</v>
      </c>
    </row>
    <row r="11" spans="1:34" x14ac:dyDescent="0.25">
      <c r="A11">
        <v>10</v>
      </c>
      <c r="B11">
        <v>355</v>
      </c>
      <c r="C11">
        <v>205</v>
      </c>
      <c r="D11">
        <v>0.2</v>
      </c>
      <c r="E11">
        <v>10000</v>
      </c>
      <c r="F11">
        <v>110</v>
      </c>
      <c r="G11">
        <f t="shared" si="10"/>
        <v>150</v>
      </c>
      <c r="H11">
        <v>8</v>
      </c>
      <c r="I11">
        <f t="shared" si="11"/>
        <v>13.75</v>
      </c>
      <c r="J11">
        <f t="shared" si="20"/>
        <v>0.28906822465146947</v>
      </c>
      <c r="K11">
        <f t="shared" si="12"/>
        <v>0.55000000000000004</v>
      </c>
      <c r="L11">
        <f t="shared" si="0"/>
        <v>10</v>
      </c>
      <c r="M11">
        <v>2.5</v>
      </c>
      <c r="N11">
        <f t="shared" si="13"/>
        <v>325</v>
      </c>
      <c r="O11">
        <f t="shared" si="21"/>
        <v>203400</v>
      </c>
      <c r="P11">
        <f t="shared" si="22"/>
        <v>3520</v>
      </c>
      <c r="Q11">
        <f t="shared" si="23"/>
        <v>804.24771931898704</v>
      </c>
      <c r="R11">
        <f t="shared" si="14"/>
        <v>4324.247719318987</v>
      </c>
      <c r="S11">
        <f t="shared" si="15"/>
        <v>14118333.707433984</v>
      </c>
      <c r="T11">
        <f t="shared" si="16"/>
        <v>57.139500414724267</v>
      </c>
      <c r="U11">
        <f t="shared" si="17"/>
        <v>175.01028058381661</v>
      </c>
      <c r="W11">
        <f t="shared" si="18"/>
        <v>2.226793241853108</v>
      </c>
      <c r="X11">
        <f t="shared" si="19"/>
        <v>1405.3805087786709</v>
      </c>
      <c r="Y11">
        <v>258.7</v>
      </c>
      <c r="Z11">
        <f t="shared" si="1"/>
        <v>0.18407826092936219</v>
      </c>
      <c r="AA11" t="str">
        <f t="shared" si="2"/>
        <v>LC-R10</v>
      </c>
      <c r="AB11">
        <f t="shared" si="3"/>
        <v>490</v>
      </c>
      <c r="AC11">
        <f t="shared" si="4"/>
        <v>517.02058150931066</v>
      </c>
      <c r="AD11">
        <f t="shared" si="5"/>
        <v>519.7880493042129</v>
      </c>
      <c r="AE11">
        <f t="shared" si="6"/>
        <v>325.88344850615891</v>
      </c>
      <c r="AF11">
        <f t="shared" si="7"/>
        <v>473.25094511267991</v>
      </c>
      <c r="AG11">
        <f t="shared" si="8"/>
        <v>1524.610993272428</v>
      </c>
      <c r="AH11">
        <f t="shared" si="9"/>
        <v>0.16968262798940326</v>
      </c>
    </row>
    <row r="12" spans="1:34" x14ac:dyDescent="0.25">
      <c r="A12">
        <v>11</v>
      </c>
      <c r="B12">
        <v>355</v>
      </c>
      <c r="C12">
        <v>205</v>
      </c>
      <c r="D12">
        <v>0.2</v>
      </c>
      <c r="E12">
        <v>12000</v>
      </c>
      <c r="F12">
        <v>110</v>
      </c>
      <c r="G12">
        <f t="shared" si="10"/>
        <v>150</v>
      </c>
      <c r="H12">
        <v>8</v>
      </c>
      <c r="I12">
        <f t="shared" si="11"/>
        <v>13.75</v>
      </c>
      <c r="J12">
        <f t="shared" si="20"/>
        <v>0.28906822465146947</v>
      </c>
      <c r="K12">
        <f t="shared" si="12"/>
        <v>0.55000000000000004</v>
      </c>
      <c r="L12">
        <f t="shared" si="0"/>
        <v>12</v>
      </c>
      <c r="M12">
        <v>2.5</v>
      </c>
      <c r="N12">
        <f t="shared" si="13"/>
        <v>325</v>
      </c>
      <c r="O12">
        <f t="shared" si="21"/>
        <v>203400</v>
      </c>
      <c r="P12">
        <f t="shared" si="22"/>
        <v>3520</v>
      </c>
      <c r="Q12">
        <f t="shared" si="23"/>
        <v>804.24771931898704</v>
      </c>
      <c r="R12">
        <f t="shared" si="14"/>
        <v>4324.247719318987</v>
      </c>
      <c r="S12">
        <f t="shared" si="15"/>
        <v>14118333.707433984</v>
      </c>
      <c r="T12">
        <f t="shared" si="16"/>
        <v>57.139500414724267</v>
      </c>
      <c r="U12">
        <f t="shared" si="17"/>
        <v>210.01233670057994</v>
      </c>
      <c r="W12">
        <f t="shared" si="18"/>
        <v>2.6721518902237298</v>
      </c>
      <c r="X12">
        <f t="shared" si="19"/>
        <v>1405.3805087786709</v>
      </c>
      <c r="Y12">
        <v>183</v>
      </c>
      <c r="Z12">
        <f t="shared" si="1"/>
        <v>0.13021384518775911</v>
      </c>
      <c r="AA12" t="str">
        <f t="shared" si="2"/>
        <v>LC-R11</v>
      </c>
      <c r="AB12">
        <f t="shared" si="3"/>
        <v>490</v>
      </c>
      <c r="AC12">
        <f t="shared" si="4"/>
        <v>517.02058150931066</v>
      </c>
      <c r="AD12">
        <f t="shared" si="5"/>
        <v>519.7880493042129</v>
      </c>
      <c r="AE12">
        <f t="shared" si="6"/>
        <v>325.88344850615891</v>
      </c>
      <c r="AF12">
        <f t="shared" si="7"/>
        <v>473.25094511267991</v>
      </c>
      <c r="AG12">
        <f t="shared" si="8"/>
        <v>1524.610993272428</v>
      </c>
      <c r="AH12">
        <f t="shared" si="9"/>
        <v>0.12003061817572785</v>
      </c>
    </row>
    <row r="13" spans="1:34" x14ac:dyDescent="0.25">
      <c r="A13">
        <v>12</v>
      </c>
      <c r="B13">
        <v>355</v>
      </c>
      <c r="C13">
        <v>205</v>
      </c>
      <c r="D13">
        <v>0.8</v>
      </c>
      <c r="E13">
        <v>1000</v>
      </c>
      <c r="F13">
        <v>110</v>
      </c>
      <c r="G13">
        <f>F13+2*H13*M13</f>
        <v>150</v>
      </c>
      <c r="H13">
        <v>8</v>
      </c>
      <c r="I13">
        <f t="shared" si="11"/>
        <v>13.75</v>
      </c>
      <c r="J13">
        <f>SQRT(12*(1-0.3^2)*I13^2*N13/(4*PI()^2*O13))</f>
        <v>0.25065920326367425</v>
      </c>
      <c r="K13">
        <f>H13*I13/200</f>
        <v>0.55000000000000004</v>
      </c>
      <c r="L13">
        <f t="shared" ref="L13:L34" si="24">E13/1000</f>
        <v>1</v>
      </c>
      <c r="M13">
        <v>2.5</v>
      </c>
      <c r="N13">
        <f>D13*C13+(1-D13)*B13</f>
        <v>235</v>
      </c>
      <c r="O13">
        <f>193000*D13+(1-D13)*206000</f>
        <v>195600</v>
      </c>
      <c r="P13">
        <f>H13*I13*H13*4</f>
        <v>3520</v>
      </c>
      <c r="Q13">
        <f>PI()*(M13*H13)^2-PI()*((M13-1)*H13)^2</f>
        <v>804.24771931898704</v>
      </c>
      <c r="R13">
        <f>P13+Q13</f>
        <v>4324.247719318987</v>
      </c>
      <c r="S13">
        <f t="shared" si="15"/>
        <v>14118333.707433984</v>
      </c>
      <c r="T13">
        <f>SQRT(S13/R13)</f>
        <v>57.139500414724267</v>
      </c>
      <c r="U13">
        <f>E13/T13</f>
        <v>17.50102805838166</v>
      </c>
      <c r="W13">
        <f>U13/PI()*SQRT(N13/O13)</f>
        <v>0.19309151689322382</v>
      </c>
      <c r="X13">
        <f>R13*N13/1000</f>
        <v>1016.198214039962</v>
      </c>
      <c r="Y13">
        <v>1125.5999999999999</v>
      </c>
      <c r="Z13">
        <f t="shared" si="1"/>
        <v>1.1076579199299161</v>
      </c>
      <c r="AA13" t="str">
        <f t="shared" si="2"/>
        <v>LC-R12</v>
      </c>
      <c r="AB13">
        <f t="shared" si="3"/>
        <v>490</v>
      </c>
      <c r="AC13">
        <f t="shared" si="4"/>
        <v>517.02058150931066</v>
      </c>
      <c r="AD13">
        <f t="shared" si="5"/>
        <v>519.7880493042129</v>
      </c>
      <c r="AE13">
        <f t="shared" si="6"/>
        <v>325.88344850615891</v>
      </c>
      <c r="AF13">
        <f t="shared" si="7"/>
        <v>356.90818463384755</v>
      </c>
      <c r="AG13">
        <f t="shared" si="8"/>
        <v>1114.242593498052</v>
      </c>
      <c r="AH13">
        <f t="shared" si="9"/>
        <v>1.0101929387444188</v>
      </c>
    </row>
    <row r="14" spans="1:34" x14ac:dyDescent="0.25">
      <c r="A14">
        <v>13</v>
      </c>
      <c r="B14">
        <v>355</v>
      </c>
      <c r="C14">
        <v>205</v>
      </c>
      <c r="D14">
        <v>0.8</v>
      </c>
      <c r="E14">
        <v>2000</v>
      </c>
      <c r="F14">
        <v>110</v>
      </c>
      <c r="G14">
        <f t="shared" ref="G14:G23" si="25">F14+2*H14*M14</f>
        <v>150</v>
      </c>
      <c r="H14">
        <v>8</v>
      </c>
      <c r="I14">
        <f t="shared" si="11"/>
        <v>13.75</v>
      </c>
      <c r="J14">
        <f>SQRT(12*(1-0.3^2)*I14^2*N14/(4*PI()^2*O14))</f>
        <v>0.25065920326367425</v>
      </c>
      <c r="K14">
        <f t="shared" ref="K14:K23" si="26">H14*I14/200</f>
        <v>0.55000000000000004</v>
      </c>
      <c r="L14">
        <f t="shared" si="24"/>
        <v>2</v>
      </c>
      <c r="M14">
        <v>2.5</v>
      </c>
      <c r="N14">
        <f t="shared" ref="N14:N23" si="27">D14*C14+(1-D14)*B14</f>
        <v>235</v>
      </c>
      <c r="O14">
        <f>193000*D14+(1-D14)*206000</f>
        <v>195600</v>
      </c>
      <c r="P14">
        <f>H14*I14*H14*4</f>
        <v>3520</v>
      </c>
      <c r="Q14">
        <f>PI()*(M14*H14)^2-PI()*((M14-1)*H14)^2</f>
        <v>804.24771931898704</v>
      </c>
      <c r="R14">
        <f t="shared" ref="R14:R23" si="28">P14+Q14</f>
        <v>4324.247719318987</v>
      </c>
      <c r="S14">
        <f t="shared" si="15"/>
        <v>14118333.707433984</v>
      </c>
      <c r="T14">
        <f t="shared" ref="T14:T23" si="29">SQRT(S14/R14)</f>
        <v>57.139500414724267</v>
      </c>
      <c r="U14">
        <f t="shared" ref="U14:U23" si="30">E14/T14</f>
        <v>35.00205611676332</v>
      </c>
      <c r="W14">
        <f t="shared" ref="W14:W23" si="31">U14/PI()*SQRT(N14/O14)</f>
        <v>0.38618303378644764</v>
      </c>
      <c r="X14">
        <f t="shared" ref="X14:X23" si="32">R14*N14/1000</f>
        <v>1016.198214039962</v>
      </c>
      <c r="Y14">
        <v>990.8</v>
      </c>
      <c r="Z14">
        <f t="shared" si="1"/>
        <v>0.97500663385444286</v>
      </c>
      <c r="AA14" t="str">
        <f t="shared" si="2"/>
        <v>LC-R13</v>
      </c>
      <c r="AB14">
        <f t="shared" si="3"/>
        <v>490</v>
      </c>
      <c r="AC14">
        <f t="shared" si="4"/>
        <v>517.02058150931066</v>
      </c>
      <c r="AD14">
        <f t="shared" si="5"/>
        <v>519.7880493042129</v>
      </c>
      <c r="AE14">
        <f t="shared" si="6"/>
        <v>325.88344850615891</v>
      </c>
      <c r="AF14">
        <f t="shared" si="7"/>
        <v>356.90818463384755</v>
      </c>
      <c r="AG14">
        <f t="shared" si="8"/>
        <v>1114.242593498052</v>
      </c>
      <c r="AH14">
        <f t="shared" si="9"/>
        <v>0.88921389810587259</v>
      </c>
    </row>
    <row r="15" spans="1:34" x14ac:dyDescent="0.25">
      <c r="A15">
        <v>14</v>
      </c>
      <c r="B15">
        <v>355</v>
      </c>
      <c r="C15">
        <v>205</v>
      </c>
      <c r="D15">
        <v>0.8</v>
      </c>
      <c r="E15">
        <v>3000</v>
      </c>
      <c r="F15">
        <v>110</v>
      </c>
      <c r="G15">
        <f t="shared" si="25"/>
        <v>150</v>
      </c>
      <c r="H15">
        <v>8</v>
      </c>
      <c r="I15">
        <f t="shared" si="11"/>
        <v>13.75</v>
      </c>
      <c r="J15">
        <f>SQRT(12*(1-0.3^2)*I15^2*N15/(4*PI()^2*O15))</f>
        <v>0.25065920326367425</v>
      </c>
      <c r="K15">
        <f t="shared" si="26"/>
        <v>0.55000000000000004</v>
      </c>
      <c r="L15">
        <f t="shared" si="24"/>
        <v>3</v>
      </c>
      <c r="M15">
        <v>2.5</v>
      </c>
      <c r="N15">
        <f t="shared" si="27"/>
        <v>235</v>
      </c>
      <c r="O15">
        <f>193000*D15+(1-D15)*206000</f>
        <v>195600</v>
      </c>
      <c r="P15">
        <f>H15*I15*H15*4</f>
        <v>3520</v>
      </c>
      <c r="Q15">
        <f>PI()*(M15*H15)^2-PI()*((M15-1)*H15)^2</f>
        <v>804.24771931898704</v>
      </c>
      <c r="R15">
        <f t="shared" si="28"/>
        <v>4324.247719318987</v>
      </c>
      <c r="S15">
        <f t="shared" si="15"/>
        <v>14118333.707433984</v>
      </c>
      <c r="T15">
        <f t="shared" si="29"/>
        <v>57.139500414724267</v>
      </c>
      <c r="U15">
        <f t="shared" si="30"/>
        <v>52.503084175144984</v>
      </c>
      <c r="W15">
        <f t="shared" si="31"/>
        <v>0.5792745506796716</v>
      </c>
      <c r="X15">
        <f t="shared" si="32"/>
        <v>1016.198214039962</v>
      </c>
      <c r="Y15">
        <v>857</v>
      </c>
      <c r="Z15">
        <f t="shared" si="1"/>
        <v>0.84333940776469274</v>
      </c>
      <c r="AA15" t="str">
        <f t="shared" si="2"/>
        <v>LC-R14</v>
      </c>
      <c r="AB15">
        <f t="shared" si="3"/>
        <v>490</v>
      </c>
      <c r="AC15">
        <f t="shared" si="4"/>
        <v>517.02058150931066</v>
      </c>
      <c r="AD15">
        <f t="shared" si="5"/>
        <v>519.7880493042129</v>
      </c>
      <c r="AE15">
        <f t="shared" si="6"/>
        <v>325.88344850615891</v>
      </c>
      <c r="AF15">
        <f t="shared" si="7"/>
        <v>356.90818463384755</v>
      </c>
      <c r="AG15">
        <f t="shared" si="8"/>
        <v>1114.242593498052</v>
      </c>
      <c r="AH15">
        <f t="shared" si="9"/>
        <v>0.76913232809520871</v>
      </c>
    </row>
    <row r="16" spans="1:34" x14ac:dyDescent="0.25">
      <c r="A16">
        <v>15</v>
      </c>
      <c r="B16">
        <v>355</v>
      </c>
      <c r="C16">
        <v>205</v>
      </c>
      <c r="D16">
        <v>0.8</v>
      </c>
      <c r="E16">
        <v>4000</v>
      </c>
      <c r="F16">
        <v>110</v>
      </c>
      <c r="G16">
        <f t="shared" si="25"/>
        <v>150</v>
      </c>
      <c r="H16">
        <v>8</v>
      </c>
      <c r="I16">
        <f t="shared" si="11"/>
        <v>13.75</v>
      </c>
      <c r="J16">
        <f t="shared" ref="J16:J23" si="33">SQRT(12*(1-0.3^2)*I16^2*N16/(4*PI()^2*O16))</f>
        <v>0.25065920326367425</v>
      </c>
      <c r="K16">
        <f t="shared" si="26"/>
        <v>0.55000000000000004</v>
      </c>
      <c r="L16">
        <f t="shared" si="24"/>
        <v>4</v>
      </c>
      <c r="M16">
        <v>2.5</v>
      </c>
      <c r="N16">
        <f t="shared" si="27"/>
        <v>235</v>
      </c>
      <c r="O16">
        <f t="shared" ref="O16:O23" si="34">193000*D16+(1-D16)*206000</f>
        <v>195600</v>
      </c>
      <c r="P16">
        <f t="shared" ref="P16:P23" si="35">H16*I16*H16*4</f>
        <v>3520</v>
      </c>
      <c r="Q16">
        <f t="shared" ref="Q16:Q23" si="36">PI()*(M16*H16)^2-PI()*((M16-1)*H16)^2</f>
        <v>804.24771931898704</v>
      </c>
      <c r="R16">
        <f t="shared" si="28"/>
        <v>4324.247719318987</v>
      </c>
      <c r="S16">
        <f t="shared" si="15"/>
        <v>14118333.707433984</v>
      </c>
      <c r="T16">
        <f t="shared" si="29"/>
        <v>57.139500414724267</v>
      </c>
      <c r="U16">
        <f t="shared" si="30"/>
        <v>70.004112233526641</v>
      </c>
      <c r="W16">
        <f t="shared" si="31"/>
        <v>0.77236606757289528</v>
      </c>
      <c r="X16">
        <f t="shared" si="32"/>
        <v>1016.198214039962</v>
      </c>
      <c r="Y16">
        <v>754.7</v>
      </c>
      <c r="Z16">
        <f t="shared" si="1"/>
        <v>0.74267007122522011</v>
      </c>
      <c r="AA16" t="str">
        <f t="shared" si="2"/>
        <v>LC-R15</v>
      </c>
      <c r="AB16">
        <f t="shared" si="3"/>
        <v>490</v>
      </c>
      <c r="AC16">
        <f t="shared" si="4"/>
        <v>517.02058150931066</v>
      </c>
      <c r="AD16">
        <f t="shared" si="5"/>
        <v>519.7880493042129</v>
      </c>
      <c r="AE16">
        <f t="shared" si="6"/>
        <v>325.88344850615891</v>
      </c>
      <c r="AF16">
        <f t="shared" si="7"/>
        <v>356.90818463384755</v>
      </c>
      <c r="AG16">
        <f t="shared" si="8"/>
        <v>1114.242593498052</v>
      </c>
      <c r="AH16">
        <f t="shared" si="9"/>
        <v>0.67732108286284021</v>
      </c>
    </row>
    <row r="17" spans="1:34" x14ac:dyDescent="0.25">
      <c r="A17">
        <v>16</v>
      </c>
      <c r="B17">
        <v>355</v>
      </c>
      <c r="C17">
        <v>205</v>
      </c>
      <c r="D17">
        <v>0.8</v>
      </c>
      <c r="E17">
        <v>5000</v>
      </c>
      <c r="F17">
        <v>110</v>
      </c>
      <c r="G17">
        <f t="shared" si="25"/>
        <v>150</v>
      </c>
      <c r="H17">
        <v>8</v>
      </c>
      <c r="I17">
        <f t="shared" si="11"/>
        <v>13.75</v>
      </c>
      <c r="J17">
        <f t="shared" si="33"/>
        <v>0.25065920326367425</v>
      </c>
      <c r="K17">
        <f t="shared" si="26"/>
        <v>0.55000000000000004</v>
      </c>
      <c r="L17">
        <f t="shared" si="24"/>
        <v>5</v>
      </c>
      <c r="M17">
        <v>2.5</v>
      </c>
      <c r="N17">
        <f t="shared" si="27"/>
        <v>235</v>
      </c>
      <c r="O17">
        <f t="shared" si="34"/>
        <v>195600</v>
      </c>
      <c r="P17">
        <f t="shared" si="35"/>
        <v>3520</v>
      </c>
      <c r="Q17">
        <f t="shared" si="36"/>
        <v>804.24771931898704</v>
      </c>
      <c r="R17">
        <f t="shared" si="28"/>
        <v>4324.247719318987</v>
      </c>
      <c r="S17">
        <f t="shared" si="15"/>
        <v>14118333.707433984</v>
      </c>
      <c r="T17">
        <f t="shared" si="29"/>
        <v>57.139500414724267</v>
      </c>
      <c r="U17">
        <f t="shared" si="30"/>
        <v>87.505140291908305</v>
      </c>
      <c r="W17">
        <f t="shared" si="31"/>
        <v>0.96545758446611907</v>
      </c>
      <c r="X17">
        <f t="shared" si="32"/>
        <v>1016.198214039962</v>
      </c>
      <c r="Y17">
        <v>656.5</v>
      </c>
      <c r="Z17">
        <f t="shared" si="1"/>
        <v>0.64603538062721211</v>
      </c>
      <c r="AA17" t="str">
        <f t="shared" si="2"/>
        <v>LC-R16</v>
      </c>
      <c r="AB17">
        <f t="shared" si="3"/>
        <v>490</v>
      </c>
      <c r="AC17">
        <f t="shared" si="4"/>
        <v>517.02058150931066</v>
      </c>
      <c r="AD17">
        <f t="shared" si="5"/>
        <v>519.7880493042129</v>
      </c>
      <c r="AE17">
        <f t="shared" si="6"/>
        <v>325.88344850615891</v>
      </c>
      <c r="AF17">
        <f t="shared" si="7"/>
        <v>356.90818463384755</v>
      </c>
      <c r="AG17">
        <f t="shared" si="8"/>
        <v>1114.242593498052</v>
      </c>
      <c r="AH17">
        <f t="shared" si="9"/>
        <v>0.58918946720478937</v>
      </c>
    </row>
    <row r="18" spans="1:34" x14ac:dyDescent="0.25">
      <c r="A18">
        <v>17</v>
      </c>
      <c r="B18">
        <v>355</v>
      </c>
      <c r="C18">
        <v>205</v>
      </c>
      <c r="D18">
        <v>0.8</v>
      </c>
      <c r="E18">
        <v>6000</v>
      </c>
      <c r="F18">
        <v>110</v>
      </c>
      <c r="G18">
        <f t="shared" si="25"/>
        <v>150</v>
      </c>
      <c r="H18">
        <v>8</v>
      </c>
      <c r="I18">
        <f t="shared" si="11"/>
        <v>13.75</v>
      </c>
      <c r="J18">
        <f t="shared" si="33"/>
        <v>0.25065920326367425</v>
      </c>
      <c r="K18">
        <f t="shared" si="26"/>
        <v>0.55000000000000004</v>
      </c>
      <c r="L18">
        <f t="shared" si="24"/>
        <v>6</v>
      </c>
      <c r="M18">
        <v>2.5</v>
      </c>
      <c r="N18">
        <f t="shared" si="27"/>
        <v>235</v>
      </c>
      <c r="O18">
        <f t="shared" si="34"/>
        <v>195600</v>
      </c>
      <c r="P18">
        <f t="shared" si="35"/>
        <v>3520</v>
      </c>
      <c r="Q18">
        <f t="shared" si="36"/>
        <v>804.24771931898704</v>
      </c>
      <c r="R18">
        <f t="shared" si="28"/>
        <v>4324.247719318987</v>
      </c>
      <c r="S18">
        <f t="shared" si="15"/>
        <v>14118333.707433984</v>
      </c>
      <c r="T18">
        <f t="shared" si="29"/>
        <v>57.139500414724267</v>
      </c>
      <c r="U18">
        <f t="shared" si="30"/>
        <v>105.00616835028997</v>
      </c>
      <c r="W18">
        <f t="shared" si="31"/>
        <v>1.1585491013593432</v>
      </c>
      <c r="X18">
        <f t="shared" si="32"/>
        <v>1016.198214039962</v>
      </c>
      <c r="Y18">
        <v>546.29999999999995</v>
      </c>
      <c r="Z18">
        <f t="shared" si="1"/>
        <v>0.53759197020052696</v>
      </c>
      <c r="AA18" t="str">
        <f t="shared" si="2"/>
        <v>LC-R17</v>
      </c>
      <c r="AB18">
        <f t="shared" si="3"/>
        <v>490</v>
      </c>
      <c r="AC18">
        <f t="shared" si="4"/>
        <v>517.02058150931066</v>
      </c>
      <c r="AD18">
        <f t="shared" si="5"/>
        <v>519.7880493042129</v>
      </c>
      <c r="AE18">
        <f t="shared" si="6"/>
        <v>325.88344850615891</v>
      </c>
      <c r="AF18">
        <f t="shared" si="7"/>
        <v>356.90818463384755</v>
      </c>
      <c r="AG18">
        <f t="shared" si="8"/>
        <v>1114.242593498052</v>
      </c>
      <c r="AH18">
        <f t="shared" si="9"/>
        <v>0.49028820401214995</v>
      </c>
    </row>
    <row r="19" spans="1:34" x14ac:dyDescent="0.25">
      <c r="A19">
        <v>18</v>
      </c>
      <c r="B19">
        <v>355</v>
      </c>
      <c r="C19">
        <v>205</v>
      </c>
      <c r="D19">
        <v>0.8</v>
      </c>
      <c r="E19">
        <v>7000</v>
      </c>
      <c r="F19">
        <v>110</v>
      </c>
      <c r="G19">
        <f t="shared" si="25"/>
        <v>150</v>
      </c>
      <c r="H19">
        <v>8</v>
      </c>
      <c r="I19">
        <f t="shared" si="11"/>
        <v>13.75</v>
      </c>
      <c r="J19">
        <f t="shared" si="33"/>
        <v>0.25065920326367425</v>
      </c>
      <c r="K19">
        <f t="shared" si="26"/>
        <v>0.55000000000000004</v>
      </c>
      <c r="L19">
        <f t="shared" si="24"/>
        <v>7</v>
      </c>
      <c r="M19">
        <v>2.5</v>
      </c>
      <c r="N19">
        <f t="shared" si="27"/>
        <v>235</v>
      </c>
      <c r="O19">
        <f t="shared" si="34"/>
        <v>195600</v>
      </c>
      <c r="P19">
        <f t="shared" si="35"/>
        <v>3520</v>
      </c>
      <c r="Q19">
        <f t="shared" si="36"/>
        <v>804.24771931898704</v>
      </c>
      <c r="R19">
        <f t="shared" si="28"/>
        <v>4324.247719318987</v>
      </c>
      <c r="S19">
        <f t="shared" si="15"/>
        <v>14118333.707433984</v>
      </c>
      <c r="T19">
        <f t="shared" si="29"/>
        <v>57.139500414724267</v>
      </c>
      <c r="U19">
        <f t="shared" si="30"/>
        <v>122.50719640867163</v>
      </c>
      <c r="W19">
        <f t="shared" si="31"/>
        <v>1.3516406182525667</v>
      </c>
      <c r="X19">
        <f t="shared" si="32"/>
        <v>1016.198214039962</v>
      </c>
      <c r="Y19">
        <v>441.4</v>
      </c>
      <c r="Z19">
        <f t="shared" si="1"/>
        <v>0.43436407769817431</v>
      </c>
      <c r="AA19" t="str">
        <f t="shared" si="2"/>
        <v>LC-R18</v>
      </c>
      <c r="AB19">
        <f t="shared" si="3"/>
        <v>490</v>
      </c>
      <c r="AC19">
        <f t="shared" si="4"/>
        <v>517.02058150931066</v>
      </c>
      <c r="AD19">
        <f t="shared" si="5"/>
        <v>519.7880493042129</v>
      </c>
      <c r="AE19">
        <f t="shared" si="6"/>
        <v>325.88344850615891</v>
      </c>
      <c r="AF19">
        <f t="shared" si="7"/>
        <v>356.90818463384755</v>
      </c>
      <c r="AG19">
        <f t="shared" si="8"/>
        <v>1114.242593498052</v>
      </c>
      <c r="AH19">
        <f t="shared" si="9"/>
        <v>0.39614353514728717</v>
      </c>
    </row>
    <row r="20" spans="1:34" x14ac:dyDescent="0.25">
      <c r="A20">
        <v>19</v>
      </c>
      <c r="B20">
        <v>355</v>
      </c>
      <c r="C20">
        <v>205</v>
      </c>
      <c r="D20">
        <v>0.8</v>
      </c>
      <c r="E20">
        <v>8000</v>
      </c>
      <c r="F20">
        <v>110</v>
      </c>
      <c r="G20">
        <f t="shared" si="25"/>
        <v>150</v>
      </c>
      <c r="H20">
        <v>8</v>
      </c>
      <c r="I20">
        <f t="shared" si="11"/>
        <v>13.75</v>
      </c>
      <c r="J20">
        <f t="shared" si="33"/>
        <v>0.25065920326367425</v>
      </c>
      <c r="K20">
        <f t="shared" si="26"/>
        <v>0.55000000000000004</v>
      </c>
      <c r="L20">
        <f t="shared" si="24"/>
        <v>8</v>
      </c>
      <c r="M20">
        <v>2.5</v>
      </c>
      <c r="N20">
        <f t="shared" si="27"/>
        <v>235</v>
      </c>
      <c r="O20">
        <f t="shared" si="34"/>
        <v>195600</v>
      </c>
      <c r="P20">
        <f t="shared" si="35"/>
        <v>3520</v>
      </c>
      <c r="Q20">
        <f t="shared" si="36"/>
        <v>804.24771931898704</v>
      </c>
      <c r="R20">
        <f t="shared" si="28"/>
        <v>4324.247719318987</v>
      </c>
      <c r="S20">
        <f t="shared" si="15"/>
        <v>14118333.707433984</v>
      </c>
      <c r="T20">
        <f t="shared" si="29"/>
        <v>57.139500414724267</v>
      </c>
      <c r="U20">
        <f t="shared" si="30"/>
        <v>140.00822446705328</v>
      </c>
      <c r="W20">
        <f t="shared" si="31"/>
        <v>1.5447321351457906</v>
      </c>
      <c r="X20">
        <f t="shared" si="32"/>
        <v>1016.198214039962</v>
      </c>
      <c r="Y20">
        <v>357.1</v>
      </c>
      <c r="Z20">
        <f t="shared" si="1"/>
        <v>0.3514078209017174</v>
      </c>
      <c r="AA20" t="str">
        <f t="shared" si="2"/>
        <v>LC-R19</v>
      </c>
      <c r="AB20">
        <f t="shared" si="3"/>
        <v>490</v>
      </c>
      <c r="AC20">
        <f t="shared" si="4"/>
        <v>517.02058150931066</v>
      </c>
      <c r="AD20">
        <f t="shared" si="5"/>
        <v>519.7880493042129</v>
      </c>
      <c r="AE20">
        <f t="shared" si="6"/>
        <v>325.88344850615891</v>
      </c>
      <c r="AF20">
        <f t="shared" si="7"/>
        <v>356.90818463384755</v>
      </c>
      <c r="AG20">
        <f t="shared" si="8"/>
        <v>1114.242593498052</v>
      </c>
      <c r="AH20">
        <f t="shared" si="9"/>
        <v>0.3204867612168017</v>
      </c>
    </row>
    <row r="21" spans="1:34" x14ac:dyDescent="0.25">
      <c r="A21">
        <v>20</v>
      </c>
      <c r="B21">
        <v>355</v>
      </c>
      <c r="C21">
        <v>205</v>
      </c>
      <c r="D21">
        <v>0.8</v>
      </c>
      <c r="E21">
        <v>9000</v>
      </c>
      <c r="F21">
        <v>110</v>
      </c>
      <c r="G21">
        <f t="shared" si="25"/>
        <v>150</v>
      </c>
      <c r="H21">
        <v>8</v>
      </c>
      <c r="I21">
        <f t="shared" si="11"/>
        <v>13.75</v>
      </c>
      <c r="J21">
        <f t="shared" si="33"/>
        <v>0.25065920326367425</v>
      </c>
      <c r="K21">
        <f t="shared" si="26"/>
        <v>0.55000000000000004</v>
      </c>
      <c r="L21">
        <f t="shared" si="24"/>
        <v>9</v>
      </c>
      <c r="M21">
        <v>2.5</v>
      </c>
      <c r="N21">
        <f t="shared" si="27"/>
        <v>235</v>
      </c>
      <c r="O21">
        <f t="shared" si="34"/>
        <v>195600</v>
      </c>
      <c r="P21">
        <f t="shared" si="35"/>
        <v>3520</v>
      </c>
      <c r="Q21">
        <f t="shared" si="36"/>
        <v>804.24771931898704</v>
      </c>
      <c r="R21">
        <f t="shared" si="28"/>
        <v>4324.247719318987</v>
      </c>
      <c r="S21">
        <f t="shared" si="15"/>
        <v>14118333.707433984</v>
      </c>
      <c r="T21">
        <f t="shared" si="29"/>
        <v>57.139500414724267</v>
      </c>
      <c r="U21">
        <f t="shared" si="30"/>
        <v>157.50925252543496</v>
      </c>
      <c r="W21">
        <f t="shared" si="31"/>
        <v>1.7378236520390145</v>
      </c>
      <c r="X21">
        <f t="shared" si="32"/>
        <v>1016.198214039962</v>
      </c>
      <c r="Y21">
        <v>291.60000000000002</v>
      </c>
      <c r="Z21">
        <f t="shared" si="1"/>
        <v>0.28695189183685466</v>
      </c>
      <c r="AA21" t="str">
        <f t="shared" si="2"/>
        <v>LC-R20</v>
      </c>
      <c r="AB21">
        <f t="shared" si="3"/>
        <v>490</v>
      </c>
      <c r="AC21">
        <f t="shared" si="4"/>
        <v>517.02058150931066</v>
      </c>
      <c r="AD21">
        <f t="shared" si="5"/>
        <v>519.7880493042129</v>
      </c>
      <c r="AE21">
        <f t="shared" si="6"/>
        <v>325.88344850615891</v>
      </c>
      <c r="AF21">
        <f t="shared" si="7"/>
        <v>356.90818463384755</v>
      </c>
      <c r="AG21">
        <f t="shared" si="8"/>
        <v>1114.242593498052</v>
      </c>
      <c r="AH21">
        <f t="shared" si="9"/>
        <v>0.26170243509050511</v>
      </c>
    </row>
    <row r="22" spans="1:34" x14ac:dyDescent="0.25">
      <c r="A22">
        <v>21</v>
      </c>
      <c r="B22">
        <v>355</v>
      </c>
      <c r="C22">
        <v>205</v>
      </c>
      <c r="D22">
        <v>0.8</v>
      </c>
      <c r="E22">
        <v>10000</v>
      </c>
      <c r="F22">
        <v>110</v>
      </c>
      <c r="G22">
        <f t="shared" si="25"/>
        <v>150</v>
      </c>
      <c r="H22">
        <v>8</v>
      </c>
      <c r="I22">
        <f t="shared" si="11"/>
        <v>13.75</v>
      </c>
      <c r="J22">
        <f t="shared" si="33"/>
        <v>0.25065920326367425</v>
      </c>
      <c r="K22">
        <f t="shared" si="26"/>
        <v>0.55000000000000004</v>
      </c>
      <c r="L22">
        <f t="shared" si="24"/>
        <v>10</v>
      </c>
      <c r="M22">
        <v>2.5</v>
      </c>
      <c r="N22">
        <f t="shared" si="27"/>
        <v>235</v>
      </c>
      <c r="O22">
        <f t="shared" si="34"/>
        <v>195600</v>
      </c>
      <c r="P22">
        <f t="shared" si="35"/>
        <v>3520</v>
      </c>
      <c r="Q22">
        <f t="shared" si="36"/>
        <v>804.24771931898704</v>
      </c>
      <c r="R22">
        <f t="shared" si="28"/>
        <v>4324.247719318987</v>
      </c>
      <c r="S22">
        <f t="shared" si="15"/>
        <v>14118333.707433984</v>
      </c>
      <c r="T22">
        <f t="shared" si="29"/>
        <v>57.139500414724267</v>
      </c>
      <c r="U22">
        <f t="shared" si="30"/>
        <v>175.01028058381661</v>
      </c>
      <c r="W22">
        <f t="shared" si="31"/>
        <v>1.9309151689322381</v>
      </c>
      <c r="X22">
        <f t="shared" si="32"/>
        <v>1016.198214039962</v>
      </c>
      <c r="Y22">
        <v>241.2</v>
      </c>
      <c r="Z22">
        <f t="shared" si="1"/>
        <v>0.23735526855641059</v>
      </c>
      <c r="AA22" t="str">
        <f t="shared" si="2"/>
        <v>LC-R21</v>
      </c>
      <c r="AB22">
        <f t="shared" si="3"/>
        <v>490</v>
      </c>
      <c r="AC22">
        <f t="shared" si="4"/>
        <v>517.02058150931066</v>
      </c>
      <c r="AD22">
        <f t="shared" si="5"/>
        <v>519.7880493042129</v>
      </c>
      <c r="AE22">
        <f t="shared" si="6"/>
        <v>325.88344850615891</v>
      </c>
      <c r="AF22">
        <f t="shared" si="7"/>
        <v>356.90818463384755</v>
      </c>
      <c r="AG22">
        <f t="shared" si="8"/>
        <v>1114.242593498052</v>
      </c>
      <c r="AH22">
        <f t="shared" si="9"/>
        <v>0.21646991544523259</v>
      </c>
    </row>
    <row r="23" spans="1:34" x14ac:dyDescent="0.25">
      <c r="A23">
        <v>22</v>
      </c>
      <c r="B23">
        <v>355</v>
      </c>
      <c r="C23">
        <v>205</v>
      </c>
      <c r="D23">
        <v>0.8</v>
      </c>
      <c r="E23">
        <v>12000</v>
      </c>
      <c r="F23">
        <v>110</v>
      </c>
      <c r="G23">
        <f t="shared" si="25"/>
        <v>150</v>
      </c>
      <c r="H23">
        <v>8</v>
      </c>
      <c r="I23">
        <f t="shared" si="11"/>
        <v>13.75</v>
      </c>
      <c r="J23">
        <f t="shared" si="33"/>
        <v>0.25065920326367425</v>
      </c>
      <c r="K23">
        <f t="shared" si="26"/>
        <v>0.55000000000000004</v>
      </c>
      <c r="L23">
        <f t="shared" si="24"/>
        <v>12</v>
      </c>
      <c r="M23">
        <v>2.5</v>
      </c>
      <c r="N23">
        <f t="shared" si="27"/>
        <v>235</v>
      </c>
      <c r="O23">
        <f t="shared" si="34"/>
        <v>195600</v>
      </c>
      <c r="P23">
        <f t="shared" si="35"/>
        <v>3520</v>
      </c>
      <c r="Q23">
        <f t="shared" si="36"/>
        <v>804.24771931898704</v>
      </c>
      <c r="R23">
        <f t="shared" si="28"/>
        <v>4324.247719318987</v>
      </c>
      <c r="S23">
        <f t="shared" si="15"/>
        <v>14118333.707433984</v>
      </c>
      <c r="T23">
        <f t="shared" si="29"/>
        <v>57.139500414724267</v>
      </c>
      <c r="U23">
        <f t="shared" si="30"/>
        <v>210.01233670057994</v>
      </c>
      <c r="W23">
        <f t="shared" si="31"/>
        <v>2.3170982027186864</v>
      </c>
      <c r="X23">
        <f t="shared" si="32"/>
        <v>1016.198214039962</v>
      </c>
      <c r="Y23">
        <v>172.1</v>
      </c>
      <c r="Z23">
        <f t="shared" ref="Z23:Z43" si="37">Y23/X23</f>
        <v>0.1693567235429447</v>
      </c>
      <c r="AA23" t="str">
        <f t="shared" ref="AA23:AA43" si="38">"LC-R"&amp;A23</f>
        <v>LC-R22</v>
      </c>
      <c r="AB23">
        <f t="shared" ref="AB23:AB43" si="39">IF(B23=235,360,IF(B23=355,490,560))</f>
        <v>490</v>
      </c>
      <c r="AC23">
        <f t="shared" ref="AC23" si="40">C23/(0.2+185*C23/193000)</f>
        <v>517.02058150931066</v>
      </c>
      <c r="AD23">
        <f t="shared" ref="AD23:AD43" si="41">B23*(2.769*(AB23/B23)-0.581*(AB23/B23)^2-1.182)/((M23-1)^(0.314*(AB23/B23)-0.32))</f>
        <v>519.7880493042129</v>
      </c>
      <c r="AE23">
        <f t="shared" ref="AE23:AE43" si="42">1.673*C23/(M23-1)^0.126</f>
        <v>325.88344850615891</v>
      </c>
      <c r="AF23">
        <f t="shared" ref="AF23:AF43" si="43">AD23*(1-((2*M23*H23-D23*H23)/(2*M23*H23-H23)*D23))+AE23*((2*M23*H23-D23*H23)/(2*M23*H23-H23)*D23)</f>
        <v>356.90818463384755</v>
      </c>
      <c r="AG23">
        <f t="shared" ref="AG23:AG43" si="44">(AF23*Q23+N23*P23)/1000</f>
        <v>1114.242593498052</v>
      </c>
      <c r="AH23">
        <f t="shared" ref="AH23:AH43" si="45">Y23/AG23</f>
        <v>0.15445469505855941</v>
      </c>
    </row>
    <row r="24" spans="1:34" x14ac:dyDescent="0.25">
      <c r="A24">
        <v>23</v>
      </c>
      <c r="B24">
        <v>355</v>
      </c>
      <c r="C24">
        <v>205</v>
      </c>
      <c r="D24">
        <v>0.2</v>
      </c>
      <c r="E24">
        <v>1000</v>
      </c>
      <c r="F24">
        <v>110</v>
      </c>
      <c r="G24">
        <f>F24+2*H24*M24</f>
        <v>150</v>
      </c>
      <c r="H24">
        <v>8</v>
      </c>
      <c r="I24">
        <f>F24/H24</f>
        <v>13.75</v>
      </c>
      <c r="J24">
        <f>SQRT(12*(1-0.3^2)*I24^2*N24/(4*PI()^2*O24))</f>
        <v>0.28906822465146947</v>
      </c>
      <c r="K24">
        <f>H24*I24/200</f>
        <v>0.55000000000000004</v>
      </c>
      <c r="L24">
        <f t="shared" si="24"/>
        <v>1</v>
      </c>
      <c r="M24">
        <v>2.5</v>
      </c>
      <c r="N24">
        <f>D24*C24+(1-D24)*B24</f>
        <v>325</v>
      </c>
      <c r="O24">
        <f>193000*D24+(1-D24)*206000</f>
        <v>203400</v>
      </c>
      <c r="P24">
        <f>H24*I24*H24*4</f>
        <v>3520</v>
      </c>
      <c r="Q24">
        <f>PI()*(M24*H24)^2-PI()*((M24-1)*H24)^2</f>
        <v>804.24771931898704</v>
      </c>
      <c r="R24">
        <f>P24+Q24</f>
        <v>4324.247719318987</v>
      </c>
      <c r="S24">
        <f>1/12*H24*(H24*I24)^3*2+(1/12*(H24*I24)*H24^3+(H24*I24)*H24*(G24/2-H24/2)^2)*2+PI()/8*((M24*H24)^4-((M24-1)*H24)^4)*2+1/2*PI()*((M24*H24)^2-((M24-1)*H24)^2)*(-1*((4*((M24*H24)^3-((M24-1)*H24)^3))/(3*PI()*((M24*H24)^2-((M24-1)*H24)^2)))^2+1*((4*((M24*H24)^3-((M24-1)*H24)^3))/(3*PI()*((M24*H24)^2-((M24-1)*H24)^2))+H24*I24/2)^2)*2</f>
        <v>14118333.707433984</v>
      </c>
      <c r="T24">
        <f>SQRT(S24/R24)</f>
        <v>57.139500414724267</v>
      </c>
      <c r="U24">
        <f>E24/T24</f>
        <v>17.50102805838166</v>
      </c>
      <c r="V24" t="s">
        <v>35</v>
      </c>
      <c r="W24">
        <f>U24/PI()*SQRT(N24/O24)</f>
        <v>0.22267932418531081</v>
      </c>
      <c r="X24">
        <f>R24*N24/1000</f>
        <v>1405.3805087786709</v>
      </c>
      <c r="Y24">
        <v>1484.6</v>
      </c>
      <c r="Z24">
        <f t="shared" si="37"/>
        <v>1.0563687134740283</v>
      </c>
      <c r="AA24" t="str">
        <f t="shared" si="38"/>
        <v>LC-R23</v>
      </c>
      <c r="AB24">
        <f t="shared" si="39"/>
        <v>490</v>
      </c>
      <c r="AC24">
        <f t="shared" ref="AC24:AC44" si="46">C24/(0.2+185*C24/193000)</f>
        <v>517.02058150931066</v>
      </c>
      <c r="AD24">
        <f t="shared" si="41"/>
        <v>519.7880493042129</v>
      </c>
      <c r="AE24">
        <f t="shared" si="42"/>
        <v>325.88344850615891</v>
      </c>
      <c r="AF24">
        <f t="shared" si="43"/>
        <v>473.25094511267991</v>
      </c>
      <c r="AG24">
        <f t="shared" si="44"/>
        <v>1524.610993272428</v>
      </c>
      <c r="AH24">
        <f t="shared" si="45"/>
        <v>0.97375658876330906</v>
      </c>
    </row>
    <row r="25" spans="1:34" x14ac:dyDescent="0.25">
      <c r="A25">
        <v>24</v>
      </c>
      <c r="B25">
        <v>355</v>
      </c>
      <c r="C25">
        <v>205</v>
      </c>
      <c r="D25">
        <v>0.2</v>
      </c>
      <c r="E25">
        <v>2000</v>
      </c>
      <c r="F25">
        <v>110</v>
      </c>
      <c r="G25">
        <f t="shared" ref="G25:G34" si="47">F25+2*H25*M25</f>
        <v>150</v>
      </c>
      <c r="H25">
        <v>8</v>
      </c>
      <c r="I25">
        <f t="shared" ref="I25:I45" si="48">F25/H25</f>
        <v>13.75</v>
      </c>
      <c r="J25">
        <f>SQRT(12*(1-0.3^2)*I25^2*N25/(4*PI()^2*O25))</f>
        <v>0.28906822465146947</v>
      </c>
      <c r="K25">
        <f t="shared" ref="K25:K34" si="49">H25*I25/200</f>
        <v>0.55000000000000004</v>
      </c>
      <c r="L25">
        <f t="shared" si="24"/>
        <v>2</v>
      </c>
      <c r="M25">
        <v>2.5</v>
      </c>
      <c r="N25">
        <f t="shared" ref="N25:N34" si="50">D25*C25+(1-D25)*B25</f>
        <v>325</v>
      </c>
      <c r="O25">
        <f>193000*D25+(1-D25)*206000</f>
        <v>203400</v>
      </c>
      <c r="P25">
        <f>H25*I25*H25*4</f>
        <v>3520</v>
      </c>
      <c r="Q25">
        <f>PI()*(M25*H25)^2-PI()*((M25-1)*H25)^2</f>
        <v>804.24771931898704</v>
      </c>
      <c r="R25">
        <f t="shared" ref="R25:R34" si="51">P25+Q25</f>
        <v>4324.247719318987</v>
      </c>
      <c r="S25">
        <f t="shared" ref="S25:S45" si="52">1/12*H25*(H25*I25)^3*2+(1/12*(H25*I25)*H25^3+(H25*I25)*H25*(G25/2-H25/2)^2)*2+PI()/8*((M25*H25)^4-((M25-1)*H25)^4)*2+1/2*PI()*((M25*H25)^2-((M25-1)*H25)^2)*(-1*((4*((M25*H25)^3-((M25-1)*H25)^3))/(3*PI()*((M25*H25)^2-((M25-1)*H25)^2)))^2+1*((4*((M25*H25)^3-((M25-1)*H25)^3))/(3*PI()*((M25*H25)^2-((M25-1)*H25)^2))+H25*I25/2)^2)*2</f>
        <v>14118333.707433984</v>
      </c>
      <c r="T25">
        <f t="shared" ref="T25:T34" si="53">SQRT(S25/R25)</f>
        <v>57.139500414724267</v>
      </c>
      <c r="U25">
        <f t="shared" ref="U25:U34" si="54">E25/T25</f>
        <v>35.00205611676332</v>
      </c>
      <c r="W25">
        <f t="shared" ref="W25:W34" si="55">U25/PI()*SQRT(N25/O25)</f>
        <v>0.44535864837062161</v>
      </c>
      <c r="X25">
        <f t="shared" ref="X25:X34" si="56">R25*N25/1000</f>
        <v>1405.3805087786709</v>
      </c>
      <c r="Y25">
        <v>1405.8</v>
      </c>
      <c r="Z25">
        <f t="shared" si="37"/>
        <v>1.0002984894259659</v>
      </c>
      <c r="AA25" t="str">
        <f t="shared" si="38"/>
        <v>LC-R24</v>
      </c>
      <c r="AB25">
        <f t="shared" si="39"/>
        <v>490</v>
      </c>
      <c r="AC25">
        <f t="shared" si="46"/>
        <v>517.02058150931066</v>
      </c>
      <c r="AD25">
        <f t="shared" si="41"/>
        <v>519.7880493042129</v>
      </c>
      <c r="AE25">
        <f t="shared" si="42"/>
        <v>325.88344850615891</v>
      </c>
      <c r="AF25">
        <f t="shared" si="43"/>
        <v>473.25094511267991</v>
      </c>
      <c r="AG25">
        <f t="shared" si="44"/>
        <v>1524.610993272428</v>
      </c>
      <c r="AH25">
        <f t="shared" si="45"/>
        <v>0.92207127339583728</v>
      </c>
    </row>
    <row r="26" spans="1:34" x14ac:dyDescent="0.25">
      <c r="A26">
        <v>25</v>
      </c>
      <c r="B26">
        <v>355</v>
      </c>
      <c r="C26">
        <v>205</v>
      </c>
      <c r="D26">
        <v>0.2</v>
      </c>
      <c r="E26">
        <v>3000</v>
      </c>
      <c r="F26">
        <v>110</v>
      </c>
      <c r="G26">
        <f t="shared" si="47"/>
        <v>150</v>
      </c>
      <c r="H26">
        <v>8</v>
      </c>
      <c r="I26">
        <f t="shared" si="48"/>
        <v>13.75</v>
      </c>
      <c r="J26">
        <f>SQRT(12*(1-0.3^2)*I26^2*N26/(4*PI()^2*O26))</f>
        <v>0.28906822465146947</v>
      </c>
      <c r="K26">
        <f t="shared" si="49"/>
        <v>0.55000000000000004</v>
      </c>
      <c r="L26">
        <f t="shared" si="24"/>
        <v>3</v>
      </c>
      <c r="M26">
        <v>2.5</v>
      </c>
      <c r="N26">
        <f t="shared" si="50"/>
        <v>325</v>
      </c>
      <c r="O26">
        <f>193000*D26+(1-D26)*206000</f>
        <v>203400</v>
      </c>
      <c r="P26">
        <f>H26*I26*H26*4</f>
        <v>3520</v>
      </c>
      <c r="Q26">
        <f>PI()*(M26*H26)^2-PI()*((M26-1)*H26)^2</f>
        <v>804.24771931898704</v>
      </c>
      <c r="R26">
        <f t="shared" si="51"/>
        <v>4324.247719318987</v>
      </c>
      <c r="S26">
        <f t="shared" si="52"/>
        <v>14118333.707433984</v>
      </c>
      <c r="T26">
        <f t="shared" si="53"/>
        <v>57.139500414724267</v>
      </c>
      <c r="U26">
        <f t="shared" si="54"/>
        <v>52.503084175144984</v>
      </c>
      <c r="W26">
        <f t="shared" si="55"/>
        <v>0.66803797255593245</v>
      </c>
      <c r="X26">
        <f t="shared" si="56"/>
        <v>1405.3805087786709</v>
      </c>
      <c r="Y26">
        <v>1280.4000000000001</v>
      </c>
      <c r="Z26">
        <f t="shared" si="37"/>
        <v>0.91106998567435404</v>
      </c>
      <c r="AA26" t="str">
        <f t="shared" si="38"/>
        <v>LC-R25</v>
      </c>
      <c r="AB26">
        <f t="shared" si="39"/>
        <v>490</v>
      </c>
      <c r="AC26">
        <f t="shared" si="46"/>
        <v>517.02058150931066</v>
      </c>
      <c r="AD26">
        <f t="shared" si="41"/>
        <v>519.7880493042129</v>
      </c>
      <c r="AE26">
        <f t="shared" si="42"/>
        <v>325.88344850615891</v>
      </c>
      <c r="AF26">
        <f t="shared" si="43"/>
        <v>473.25094511267991</v>
      </c>
      <c r="AG26">
        <f t="shared" si="44"/>
        <v>1524.610993272428</v>
      </c>
      <c r="AH26">
        <f t="shared" si="45"/>
        <v>0.83982078421968287</v>
      </c>
    </row>
    <row r="27" spans="1:34" x14ac:dyDescent="0.25">
      <c r="A27">
        <v>26</v>
      </c>
      <c r="B27">
        <v>355</v>
      </c>
      <c r="C27">
        <v>205</v>
      </c>
      <c r="D27">
        <v>0.2</v>
      </c>
      <c r="E27">
        <v>4000</v>
      </c>
      <c r="F27">
        <v>110</v>
      </c>
      <c r="G27">
        <f t="shared" si="47"/>
        <v>150</v>
      </c>
      <c r="H27">
        <v>8</v>
      </c>
      <c r="I27">
        <f t="shared" si="48"/>
        <v>13.75</v>
      </c>
      <c r="J27">
        <f t="shared" ref="J27:J34" si="57">SQRT(12*(1-0.3^2)*I27^2*N27/(4*PI()^2*O27))</f>
        <v>0.28906822465146947</v>
      </c>
      <c r="K27">
        <f t="shared" si="49"/>
        <v>0.55000000000000004</v>
      </c>
      <c r="L27">
        <f t="shared" si="24"/>
        <v>4</v>
      </c>
      <c r="M27">
        <v>2.5</v>
      </c>
      <c r="N27">
        <f t="shared" si="50"/>
        <v>325</v>
      </c>
      <c r="O27">
        <f t="shared" ref="O27:O34" si="58">193000*D27+(1-D27)*206000</f>
        <v>203400</v>
      </c>
      <c r="P27">
        <f t="shared" ref="P27:P34" si="59">H27*I27*H27*4</f>
        <v>3520</v>
      </c>
      <c r="Q27">
        <f t="shared" ref="Q27:Q34" si="60">PI()*(M27*H27)^2-PI()*((M27-1)*H27)^2</f>
        <v>804.24771931898704</v>
      </c>
      <c r="R27">
        <f t="shared" si="51"/>
        <v>4324.247719318987</v>
      </c>
      <c r="S27">
        <f t="shared" si="52"/>
        <v>14118333.707433984</v>
      </c>
      <c r="T27">
        <f t="shared" si="53"/>
        <v>57.139500414724267</v>
      </c>
      <c r="U27">
        <f t="shared" si="54"/>
        <v>70.004112233526641</v>
      </c>
      <c r="W27">
        <f t="shared" si="55"/>
        <v>0.89071729674124323</v>
      </c>
      <c r="X27">
        <f t="shared" si="56"/>
        <v>1405.3805087786709</v>
      </c>
      <c r="Y27">
        <v>1106.2</v>
      </c>
      <c r="Z27">
        <f t="shared" si="37"/>
        <v>0.78711778987267289</v>
      </c>
      <c r="AA27" t="str">
        <f t="shared" si="38"/>
        <v>LC-R26</v>
      </c>
      <c r="AB27">
        <f t="shared" si="39"/>
        <v>490</v>
      </c>
      <c r="AC27">
        <f t="shared" si="46"/>
        <v>517.02058150931066</v>
      </c>
      <c r="AD27">
        <f t="shared" si="41"/>
        <v>519.7880493042129</v>
      </c>
      <c r="AE27">
        <f t="shared" si="42"/>
        <v>325.88344850615891</v>
      </c>
      <c r="AF27">
        <f t="shared" si="43"/>
        <v>473.25094511267991</v>
      </c>
      <c r="AG27">
        <f t="shared" si="44"/>
        <v>1524.610993272428</v>
      </c>
      <c r="AH27">
        <f t="shared" si="45"/>
        <v>0.7255621301966676</v>
      </c>
    </row>
    <row r="28" spans="1:34" x14ac:dyDescent="0.25">
      <c r="A28">
        <v>27</v>
      </c>
      <c r="B28">
        <v>355</v>
      </c>
      <c r="C28">
        <v>205</v>
      </c>
      <c r="D28">
        <v>0.2</v>
      </c>
      <c r="E28">
        <v>5000</v>
      </c>
      <c r="F28">
        <v>110</v>
      </c>
      <c r="G28">
        <f t="shared" si="47"/>
        <v>150</v>
      </c>
      <c r="H28">
        <v>8</v>
      </c>
      <c r="I28">
        <f t="shared" si="48"/>
        <v>13.75</v>
      </c>
      <c r="J28">
        <f t="shared" si="57"/>
        <v>0.28906822465146947</v>
      </c>
      <c r="K28">
        <f t="shared" si="49"/>
        <v>0.55000000000000004</v>
      </c>
      <c r="L28">
        <f t="shared" si="24"/>
        <v>5</v>
      </c>
      <c r="M28">
        <v>2.5</v>
      </c>
      <c r="N28">
        <f t="shared" si="50"/>
        <v>325</v>
      </c>
      <c r="O28">
        <f t="shared" si="58"/>
        <v>203400</v>
      </c>
      <c r="P28">
        <f t="shared" si="59"/>
        <v>3520</v>
      </c>
      <c r="Q28">
        <f t="shared" si="60"/>
        <v>804.24771931898704</v>
      </c>
      <c r="R28">
        <f t="shared" si="51"/>
        <v>4324.247719318987</v>
      </c>
      <c r="S28">
        <f t="shared" si="52"/>
        <v>14118333.707433984</v>
      </c>
      <c r="T28">
        <f t="shared" si="53"/>
        <v>57.139500414724267</v>
      </c>
      <c r="U28">
        <f t="shared" si="54"/>
        <v>87.505140291908305</v>
      </c>
      <c r="W28">
        <f t="shared" si="55"/>
        <v>1.113396620926554</v>
      </c>
      <c r="X28">
        <f t="shared" si="56"/>
        <v>1405.3805087786709</v>
      </c>
      <c r="Y28">
        <v>877.2</v>
      </c>
      <c r="Z28">
        <f t="shared" si="37"/>
        <v>0.6241725956213241</v>
      </c>
      <c r="AA28" t="str">
        <f t="shared" si="38"/>
        <v>LC-R27</v>
      </c>
      <c r="AB28">
        <f t="shared" si="39"/>
        <v>490</v>
      </c>
      <c r="AC28">
        <f t="shared" si="46"/>
        <v>517.02058150931066</v>
      </c>
      <c r="AD28">
        <f t="shared" si="41"/>
        <v>519.7880493042129</v>
      </c>
      <c r="AE28">
        <f t="shared" si="42"/>
        <v>325.88344850615891</v>
      </c>
      <c r="AF28">
        <f t="shared" si="43"/>
        <v>473.25094511267991</v>
      </c>
      <c r="AG28">
        <f t="shared" si="44"/>
        <v>1524.610993272428</v>
      </c>
      <c r="AH28">
        <f t="shared" si="45"/>
        <v>0.57535988122266934</v>
      </c>
    </row>
    <row r="29" spans="1:34" x14ac:dyDescent="0.25">
      <c r="A29">
        <v>28</v>
      </c>
      <c r="B29">
        <v>355</v>
      </c>
      <c r="C29">
        <v>205</v>
      </c>
      <c r="D29">
        <v>0.2</v>
      </c>
      <c r="E29">
        <v>6000</v>
      </c>
      <c r="F29">
        <v>110</v>
      </c>
      <c r="G29">
        <f t="shared" si="47"/>
        <v>150</v>
      </c>
      <c r="H29">
        <v>8</v>
      </c>
      <c r="I29">
        <f t="shared" si="48"/>
        <v>13.75</v>
      </c>
      <c r="J29">
        <f t="shared" si="57"/>
        <v>0.28906822465146947</v>
      </c>
      <c r="K29">
        <f t="shared" si="49"/>
        <v>0.55000000000000004</v>
      </c>
      <c r="L29">
        <f t="shared" si="24"/>
        <v>6</v>
      </c>
      <c r="M29">
        <v>2.5</v>
      </c>
      <c r="N29">
        <f t="shared" si="50"/>
        <v>325</v>
      </c>
      <c r="O29">
        <f t="shared" si="58"/>
        <v>203400</v>
      </c>
      <c r="P29">
        <f t="shared" si="59"/>
        <v>3520</v>
      </c>
      <c r="Q29">
        <f t="shared" si="60"/>
        <v>804.24771931898704</v>
      </c>
      <c r="R29">
        <f t="shared" si="51"/>
        <v>4324.247719318987</v>
      </c>
      <c r="S29">
        <f t="shared" si="52"/>
        <v>14118333.707433984</v>
      </c>
      <c r="T29">
        <f t="shared" si="53"/>
        <v>57.139500414724267</v>
      </c>
      <c r="U29">
        <f t="shared" si="54"/>
        <v>105.00616835028997</v>
      </c>
      <c r="W29">
        <f t="shared" si="55"/>
        <v>1.3360759451118649</v>
      </c>
      <c r="X29">
        <f t="shared" si="56"/>
        <v>1405.3805087786709</v>
      </c>
      <c r="Y29">
        <v>666.1</v>
      </c>
      <c r="Z29">
        <f t="shared" si="37"/>
        <v>0.47396416546211123</v>
      </c>
      <c r="AA29" t="str">
        <f t="shared" si="38"/>
        <v>LC-R28</v>
      </c>
      <c r="AB29">
        <f t="shared" si="39"/>
        <v>490</v>
      </c>
      <c r="AC29">
        <f t="shared" si="46"/>
        <v>517.02058150931066</v>
      </c>
      <c r="AD29">
        <f t="shared" si="41"/>
        <v>519.7880493042129</v>
      </c>
      <c r="AE29">
        <f t="shared" si="42"/>
        <v>325.88344850615891</v>
      </c>
      <c r="AF29">
        <f t="shared" si="43"/>
        <v>473.25094511267991</v>
      </c>
      <c r="AG29">
        <f t="shared" si="44"/>
        <v>1524.610993272428</v>
      </c>
      <c r="AH29">
        <f t="shared" si="45"/>
        <v>0.43689833205930234</v>
      </c>
    </row>
    <row r="30" spans="1:34" x14ac:dyDescent="0.25">
      <c r="A30">
        <v>29</v>
      </c>
      <c r="B30">
        <v>355</v>
      </c>
      <c r="C30">
        <v>205</v>
      </c>
      <c r="D30">
        <v>0.2</v>
      </c>
      <c r="E30">
        <v>7000</v>
      </c>
      <c r="F30">
        <v>110</v>
      </c>
      <c r="G30">
        <f t="shared" si="47"/>
        <v>150</v>
      </c>
      <c r="H30">
        <v>8</v>
      </c>
      <c r="I30">
        <f t="shared" si="48"/>
        <v>13.75</v>
      </c>
      <c r="J30">
        <f t="shared" si="57"/>
        <v>0.28906822465146947</v>
      </c>
      <c r="K30">
        <f t="shared" si="49"/>
        <v>0.55000000000000004</v>
      </c>
      <c r="L30">
        <f t="shared" si="24"/>
        <v>7</v>
      </c>
      <c r="M30">
        <v>2.5</v>
      </c>
      <c r="N30">
        <f t="shared" si="50"/>
        <v>325</v>
      </c>
      <c r="O30">
        <f t="shared" si="58"/>
        <v>203400</v>
      </c>
      <c r="P30">
        <f t="shared" si="59"/>
        <v>3520</v>
      </c>
      <c r="Q30">
        <f t="shared" si="60"/>
        <v>804.24771931898704</v>
      </c>
      <c r="R30">
        <f t="shared" si="51"/>
        <v>4324.247719318987</v>
      </c>
      <c r="S30">
        <f t="shared" si="52"/>
        <v>14118333.707433984</v>
      </c>
      <c r="T30">
        <f t="shared" si="53"/>
        <v>57.139500414724267</v>
      </c>
      <c r="U30">
        <f t="shared" si="54"/>
        <v>122.50719640867163</v>
      </c>
      <c r="W30">
        <f t="shared" si="55"/>
        <v>1.5587552692971756</v>
      </c>
      <c r="X30">
        <f t="shared" si="56"/>
        <v>1405.3805087786709</v>
      </c>
      <c r="Y30">
        <v>510.4</v>
      </c>
      <c r="Z30">
        <f t="shared" si="37"/>
        <v>0.36317566439252597</v>
      </c>
      <c r="AA30" t="str">
        <f t="shared" si="38"/>
        <v>LC-R29</v>
      </c>
      <c r="AB30">
        <f t="shared" si="39"/>
        <v>490</v>
      </c>
      <c r="AC30">
        <f t="shared" si="46"/>
        <v>517.02058150931066</v>
      </c>
      <c r="AD30">
        <f t="shared" si="41"/>
        <v>519.7880493042129</v>
      </c>
      <c r="AE30">
        <f t="shared" si="42"/>
        <v>325.88344850615891</v>
      </c>
      <c r="AF30">
        <f t="shared" si="43"/>
        <v>473.25094511267991</v>
      </c>
      <c r="AG30">
        <f t="shared" si="44"/>
        <v>1524.610993272428</v>
      </c>
      <c r="AH30">
        <f t="shared" si="45"/>
        <v>0.3347739208573306</v>
      </c>
    </row>
    <row r="31" spans="1:34" x14ac:dyDescent="0.25">
      <c r="A31">
        <v>30</v>
      </c>
      <c r="B31">
        <v>355</v>
      </c>
      <c r="C31">
        <v>205</v>
      </c>
      <c r="D31">
        <v>0.2</v>
      </c>
      <c r="E31">
        <v>8000</v>
      </c>
      <c r="F31">
        <v>110</v>
      </c>
      <c r="G31">
        <f t="shared" si="47"/>
        <v>150</v>
      </c>
      <c r="H31">
        <v>8</v>
      </c>
      <c r="I31">
        <f t="shared" si="48"/>
        <v>13.75</v>
      </c>
      <c r="J31">
        <f t="shared" si="57"/>
        <v>0.28906822465146947</v>
      </c>
      <c r="K31">
        <f t="shared" si="49"/>
        <v>0.55000000000000004</v>
      </c>
      <c r="L31">
        <f t="shared" si="24"/>
        <v>8</v>
      </c>
      <c r="M31">
        <v>2.5</v>
      </c>
      <c r="N31">
        <f t="shared" si="50"/>
        <v>325</v>
      </c>
      <c r="O31">
        <f t="shared" si="58"/>
        <v>203400</v>
      </c>
      <c r="P31">
        <f t="shared" si="59"/>
        <v>3520</v>
      </c>
      <c r="Q31">
        <f t="shared" si="60"/>
        <v>804.24771931898704</v>
      </c>
      <c r="R31">
        <f t="shared" si="51"/>
        <v>4324.247719318987</v>
      </c>
      <c r="S31">
        <f t="shared" si="52"/>
        <v>14118333.707433984</v>
      </c>
      <c r="T31">
        <f t="shared" si="53"/>
        <v>57.139500414724267</v>
      </c>
      <c r="U31">
        <f t="shared" si="54"/>
        <v>140.00822446705328</v>
      </c>
      <c r="W31">
        <f t="shared" si="55"/>
        <v>1.7814345934824865</v>
      </c>
      <c r="X31">
        <f t="shared" si="56"/>
        <v>1405.3805087786709</v>
      </c>
      <c r="Y31">
        <v>400.7</v>
      </c>
      <c r="Z31">
        <f t="shared" si="37"/>
        <v>0.28511851238653046</v>
      </c>
      <c r="AA31" t="str">
        <f t="shared" si="38"/>
        <v>LC-R30</v>
      </c>
      <c r="AB31">
        <f t="shared" si="39"/>
        <v>490</v>
      </c>
      <c r="AC31">
        <f t="shared" si="46"/>
        <v>517.02058150931066</v>
      </c>
      <c r="AD31">
        <f t="shared" si="41"/>
        <v>519.7880493042129</v>
      </c>
      <c r="AE31">
        <f t="shared" si="42"/>
        <v>325.88344850615891</v>
      </c>
      <c r="AF31">
        <f t="shared" si="43"/>
        <v>473.25094511267991</v>
      </c>
      <c r="AG31">
        <f t="shared" si="44"/>
        <v>1524.610993272428</v>
      </c>
      <c r="AH31">
        <f t="shared" si="45"/>
        <v>0.26282114045362925</v>
      </c>
    </row>
    <row r="32" spans="1:34" x14ac:dyDescent="0.25">
      <c r="A32">
        <v>31</v>
      </c>
      <c r="B32">
        <v>355</v>
      </c>
      <c r="C32">
        <v>205</v>
      </c>
      <c r="D32">
        <v>0.2</v>
      </c>
      <c r="E32">
        <v>9000</v>
      </c>
      <c r="F32">
        <v>110</v>
      </c>
      <c r="G32">
        <f t="shared" si="47"/>
        <v>150</v>
      </c>
      <c r="H32">
        <v>8</v>
      </c>
      <c r="I32">
        <f t="shared" si="48"/>
        <v>13.75</v>
      </c>
      <c r="J32">
        <f t="shared" si="57"/>
        <v>0.28906822465146947</v>
      </c>
      <c r="K32">
        <f t="shared" si="49"/>
        <v>0.55000000000000004</v>
      </c>
      <c r="L32">
        <f t="shared" si="24"/>
        <v>9</v>
      </c>
      <c r="M32">
        <v>2.5</v>
      </c>
      <c r="N32">
        <f t="shared" si="50"/>
        <v>325</v>
      </c>
      <c r="O32">
        <f t="shared" si="58"/>
        <v>203400</v>
      </c>
      <c r="P32">
        <f t="shared" si="59"/>
        <v>3520</v>
      </c>
      <c r="Q32">
        <f t="shared" si="60"/>
        <v>804.24771931898704</v>
      </c>
      <c r="R32">
        <f t="shared" si="51"/>
        <v>4324.247719318987</v>
      </c>
      <c r="S32">
        <f t="shared" si="52"/>
        <v>14118333.707433984</v>
      </c>
      <c r="T32">
        <f t="shared" si="53"/>
        <v>57.139500414724267</v>
      </c>
      <c r="U32">
        <f t="shared" si="54"/>
        <v>157.50925252543496</v>
      </c>
      <c r="W32">
        <f t="shared" si="55"/>
        <v>2.0041139176677971</v>
      </c>
      <c r="X32">
        <f t="shared" si="56"/>
        <v>1405.3805087786709</v>
      </c>
      <c r="Y32">
        <v>321.5</v>
      </c>
      <c r="Z32">
        <f t="shared" si="37"/>
        <v>0.22876366791182817</v>
      </c>
      <c r="AA32" t="str">
        <f t="shared" si="38"/>
        <v>LC-R31</v>
      </c>
      <c r="AB32">
        <f t="shared" si="39"/>
        <v>490</v>
      </c>
      <c r="AC32">
        <f t="shared" si="46"/>
        <v>517.02058150931066</v>
      </c>
      <c r="AD32">
        <f t="shared" si="41"/>
        <v>519.7880493042129</v>
      </c>
      <c r="AE32">
        <f t="shared" si="42"/>
        <v>325.88344850615891</v>
      </c>
      <c r="AF32">
        <f t="shared" si="43"/>
        <v>473.25094511267991</v>
      </c>
      <c r="AG32">
        <f t="shared" si="44"/>
        <v>1524.610993272428</v>
      </c>
      <c r="AH32">
        <f t="shared" si="45"/>
        <v>0.21087346307921589</v>
      </c>
    </row>
    <row r="33" spans="1:34" x14ac:dyDescent="0.25">
      <c r="A33">
        <v>32</v>
      </c>
      <c r="B33">
        <v>355</v>
      </c>
      <c r="C33">
        <v>205</v>
      </c>
      <c r="D33">
        <v>0.2</v>
      </c>
      <c r="E33">
        <v>10000</v>
      </c>
      <c r="F33">
        <v>110</v>
      </c>
      <c r="G33">
        <f t="shared" si="47"/>
        <v>150</v>
      </c>
      <c r="H33">
        <v>8</v>
      </c>
      <c r="I33">
        <f t="shared" si="48"/>
        <v>13.75</v>
      </c>
      <c r="J33">
        <f t="shared" si="57"/>
        <v>0.28906822465146947</v>
      </c>
      <c r="K33">
        <f t="shared" si="49"/>
        <v>0.55000000000000004</v>
      </c>
      <c r="L33">
        <f t="shared" si="24"/>
        <v>10</v>
      </c>
      <c r="M33">
        <v>2.5</v>
      </c>
      <c r="N33">
        <f t="shared" si="50"/>
        <v>325</v>
      </c>
      <c r="O33">
        <f t="shared" si="58"/>
        <v>203400</v>
      </c>
      <c r="P33">
        <f t="shared" si="59"/>
        <v>3520</v>
      </c>
      <c r="Q33">
        <f t="shared" si="60"/>
        <v>804.24771931898704</v>
      </c>
      <c r="R33">
        <f t="shared" si="51"/>
        <v>4324.247719318987</v>
      </c>
      <c r="S33">
        <f t="shared" si="52"/>
        <v>14118333.707433984</v>
      </c>
      <c r="T33">
        <f t="shared" si="53"/>
        <v>57.139500414724267</v>
      </c>
      <c r="U33">
        <f t="shared" si="54"/>
        <v>175.01028058381661</v>
      </c>
      <c r="W33">
        <f t="shared" si="55"/>
        <v>2.226793241853108</v>
      </c>
      <c r="X33">
        <f t="shared" si="56"/>
        <v>1405.3805087786709</v>
      </c>
      <c r="Y33">
        <v>263.3</v>
      </c>
      <c r="Z33">
        <f t="shared" si="37"/>
        <v>0.18735139583572119</v>
      </c>
      <c r="AA33" t="str">
        <f t="shared" si="38"/>
        <v>LC-R32</v>
      </c>
      <c r="AB33">
        <f t="shared" si="39"/>
        <v>490</v>
      </c>
      <c r="AC33">
        <f t="shared" si="46"/>
        <v>517.02058150931066</v>
      </c>
      <c r="AD33">
        <f t="shared" si="41"/>
        <v>519.7880493042129</v>
      </c>
      <c r="AE33">
        <f t="shared" si="42"/>
        <v>325.88344850615891</v>
      </c>
      <c r="AF33">
        <f t="shared" si="43"/>
        <v>473.25094511267991</v>
      </c>
      <c r="AG33">
        <f t="shared" si="44"/>
        <v>1524.610993272428</v>
      </c>
      <c r="AH33">
        <f t="shared" si="45"/>
        <v>0.17269979106923031</v>
      </c>
    </row>
    <row r="34" spans="1:34" x14ac:dyDescent="0.25">
      <c r="A34">
        <v>33</v>
      </c>
      <c r="B34">
        <v>355</v>
      </c>
      <c r="C34">
        <v>205</v>
      </c>
      <c r="D34">
        <v>0.2</v>
      </c>
      <c r="E34">
        <v>12000</v>
      </c>
      <c r="F34">
        <v>110</v>
      </c>
      <c r="G34">
        <f t="shared" si="47"/>
        <v>150</v>
      </c>
      <c r="H34">
        <v>8</v>
      </c>
      <c r="I34">
        <f t="shared" si="48"/>
        <v>13.75</v>
      </c>
      <c r="J34">
        <f t="shared" si="57"/>
        <v>0.28906822465146947</v>
      </c>
      <c r="K34">
        <f t="shared" si="49"/>
        <v>0.55000000000000004</v>
      </c>
      <c r="L34">
        <f t="shared" si="24"/>
        <v>12</v>
      </c>
      <c r="M34">
        <v>2.5</v>
      </c>
      <c r="N34">
        <f t="shared" si="50"/>
        <v>325</v>
      </c>
      <c r="O34">
        <f t="shared" si="58"/>
        <v>203400</v>
      </c>
      <c r="P34">
        <f t="shared" si="59"/>
        <v>3520</v>
      </c>
      <c r="Q34">
        <f t="shared" si="60"/>
        <v>804.24771931898704</v>
      </c>
      <c r="R34">
        <f t="shared" si="51"/>
        <v>4324.247719318987</v>
      </c>
      <c r="S34">
        <f t="shared" si="52"/>
        <v>14118333.707433984</v>
      </c>
      <c r="T34">
        <f t="shared" si="53"/>
        <v>57.139500414724267</v>
      </c>
      <c r="U34">
        <f t="shared" si="54"/>
        <v>210.01233670057994</v>
      </c>
      <c r="W34">
        <f t="shared" si="55"/>
        <v>2.6721518902237298</v>
      </c>
      <c r="X34">
        <f t="shared" si="56"/>
        <v>1405.3805087786709</v>
      </c>
      <c r="Y34">
        <v>183.5</v>
      </c>
      <c r="Z34">
        <f t="shared" si="37"/>
        <v>0.13056962072105902</v>
      </c>
      <c r="AA34" t="str">
        <f t="shared" si="38"/>
        <v>LC-R33</v>
      </c>
      <c r="AB34">
        <f t="shared" si="39"/>
        <v>490</v>
      </c>
      <c r="AC34">
        <f t="shared" si="46"/>
        <v>517.02058150931066</v>
      </c>
      <c r="AD34">
        <f t="shared" si="41"/>
        <v>519.7880493042129</v>
      </c>
      <c r="AE34">
        <f t="shared" si="42"/>
        <v>325.88344850615891</v>
      </c>
      <c r="AF34">
        <f t="shared" si="43"/>
        <v>473.25094511267991</v>
      </c>
      <c r="AG34">
        <f t="shared" si="44"/>
        <v>1524.610993272428</v>
      </c>
      <c r="AH34">
        <f t="shared" si="45"/>
        <v>0.12035857068440471</v>
      </c>
    </row>
    <row r="35" spans="1:34" x14ac:dyDescent="0.25">
      <c r="A35">
        <v>34</v>
      </c>
      <c r="B35">
        <v>355</v>
      </c>
      <c r="C35">
        <v>205</v>
      </c>
      <c r="D35">
        <v>0.8</v>
      </c>
      <c r="E35">
        <v>1000</v>
      </c>
      <c r="F35">
        <v>110</v>
      </c>
      <c r="G35">
        <f>F35+2*H35*M35</f>
        <v>150</v>
      </c>
      <c r="H35">
        <v>8</v>
      </c>
      <c r="I35">
        <f t="shared" si="48"/>
        <v>13.75</v>
      </c>
      <c r="J35">
        <f>SQRT(12*(1-0.3^2)*I35^2*N35/(4*PI()^2*O35))</f>
        <v>0.25065920326367425</v>
      </c>
      <c r="K35">
        <f>H35*I35/200</f>
        <v>0.55000000000000004</v>
      </c>
      <c r="L35">
        <f t="shared" ref="L35:L67" si="61">E35/1000</f>
        <v>1</v>
      </c>
      <c r="M35">
        <v>2.5</v>
      </c>
      <c r="N35">
        <f>D35*C35+(1-D35)*B35</f>
        <v>235</v>
      </c>
      <c r="O35">
        <f>193000*D35+(1-D35)*206000</f>
        <v>195600</v>
      </c>
      <c r="P35">
        <f>H35*I35*H35*4</f>
        <v>3520</v>
      </c>
      <c r="Q35">
        <f>PI()*(M35*H35)^2-PI()*((M35-1)*H35)^2</f>
        <v>804.24771931898704</v>
      </c>
      <c r="R35">
        <f>P35+Q35</f>
        <v>4324.247719318987</v>
      </c>
      <c r="S35">
        <f t="shared" si="52"/>
        <v>14118333.707433984</v>
      </c>
      <c r="T35">
        <f>SQRT(S35/R35)</f>
        <v>57.139500414724267</v>
      </c>
      <c r="U35">
        <f>E35/T35</f>
        <v>17.50102805838166</v>
      </c>
      <c r="W35">
        <f>U35/PI()*SQRT(N35/O35)</f>
        <v>0.19309151689322382</v>
      </c>
      <c r="X35">
        <f>R35*N35/1000</f>
        <v>1016.198214039962</v>
      </c>
      <c r="Y35">
        <v>1116.2</v>
      </c>
      <c r="Z35">
        <f t="shared" si="37"/>
        <v>1.0984077560641192</v>
      </c>
      <c r="AA35" t="str">
        <f t="shared" si="38"/>
        <v>LC-R34</v>
      </c>
      <c r="AB35">
        <f t="shared" si="39"/>
        <v>490</v>
      </c>
      <c r="AC35">
        <f t="shared" si="46"/>
        <v>517.02058150931066</v>
      </c>
      <c r="AD35">
        <f t="shared" si="41"/>
        <v>519.7880493042129</v>
      </c>
      <c r="AE35">
        <f t="shared" si="42"/>
        <v>325.88344850615891</v>
      </c>
      <c r="AF35">
        <f t="shared" si="43"/>
        <v>356.90818463384755</v>
      </c>
      <c r="AG35">
        <f t="shared" si="44"/>
        <v>1114.242593498052</v>
      </c>
      <c r="AH35">
        <f t="shared" si="45"/>
        <v>1.0017567148423243</v>
      </c>
    </row>
    <row r="36" spans="1:34" x14ac:dyDescent="0.25">
      <c r="A36">
        <v>35</v>
      </c>
      <c r="B36">
        <v>355</v>
      </c>
      <c r="C36">
        <v>205</v>
      </c>
      <c r="D36">
        <v>0.8</v>
      </c>
      <c r="E36">
        <v>2000</v>
      </c>
      <c r="F36">
        <v>110</v>
      </c>
      <c r="G36">
        <f t="shared" ref="G36:G45" si="62">F36+2*H36*M36</f>
        <v>150</v>
      </c>
      <c r="H36">
        <v>8</v>
      </c>
      <c r="I36">
        <f t="shared" si="48"/>
        <v>13.75</v>
      </c>
      <c r="J36">
        <f>SQRT(12*(1-0.3^2)*I36^2*N36/(4*PI()^2*O36))</f>
        <v>0.25065920326367425</v>
      </c>
      <c r="K36">
        <f t="shared" ref="K36:K45" si="63">H36*I36/200</f>
        <v>0.55000000000000004</v>
      </c>
      <c r="L36">
        <f t="shared" si="61"/>
        <v>2</v>
      </c>
      <c r="M36">
        <v>2.5</v>
      </c>
      <c r="N36">
        <f t="shared" ref="N36:N45" si="64">D36*C36+(1-D36)*B36</f>
        <v>235</v>
      </c>
      <c r="O36">
        <f>193000*D36+(1-D36)*206000</f>
        <v>195600</v>
      </c>
      <c r="P36">
        <f>H36*I36*H36*4</f>
        <v>3520</v>
      </c>
      <c r="Q36">
        <f>PI()*(M36*H36)^2-PI()*((M36-1)*H36)^2</f>
        <v>804.24771931898704</v>
      </c>
      <c r="R36">
        <f t="shared" ref="R36:R45" si="65">P36+Q36</f>
        <v>4324.247719318987</v>
      </c>
      <c r="S36">
        <f t="shared" si="52"/>
        <v>14118333.707433984</v>
      </c>
      <c r="T36">
        <f t="shared" ref="T36:T45" si="66">SQRT(S36/R36)</f>
        <v>57.139500414724267</v>
      </c>
      <c r="U36">
        <f t="shared" ref="U36:U45" si="67">E36/T36</f>
        <v>35.00205611676332</v>
      </c>
      <c r="W36">
        <f t="shared" ref="W36:W45" si="68">U36/PI()*SQRT(N36/O36)</f>
        <v>0.38618303378644764</v>
      </c>
      <c r="X36">
        <f t="shared" ref="X36:X45" si="69">R36*N36/1000</f>
        <v>1016.198214039962</v>
      </c>
      <c r="Y36">
        <v>1024.8</v>
      </c>
      <c r="Z36">
        <f t="shared" si="37"/>
        <v>1.0084646733690281</v>
      </c>
      <c r="AA36" t="str">
        <f t="shared" si="38"/>
        <v>LC-R35</v>
      </c>
      <c r="AB36">
        <f t="shared" si="39"/>
        <v>490</v>
      </c>
      <c r="AC36">
        <f t="shared" si="46"/>
        <v>517.02058150931066</v>
      </c>
      <c r="AD36">
        <f t="shared" si="41"/>
        <v>519.7880493042129</v>
      </c>
      <c r="AE36">
        <f t="shared" si="42"/>
        <v>325.88344850615891</v>
      </c>
      <c r="AF36">
        <f t="shared" si="43"/>
        <v>356.90818463384755</v>
      </c>
      <c r="AG36">
        <f t="shared" si="44"/>
        <v>1114.242593498052</v>
      </c>
      <c r="AH36">
        <f t="shared" si="45"/>
        <v>0.91972789945387379</v>
      </c>
    </row>
    <row r="37" spans="1:34" x14ac:dyDescent="0.25">
      <c r="A37">
        <v>36</v>
      </c>
      <c r="B37">
        <v>355</v>
      </c>
      <c r="C37">
        <v>205</v>
      </c>
      <c r="D37">
        <v>0.8</v>
      </c>
      <c r="E37">
        <v>3000</v>
      </c>
      <c r="F37">
        <v>110</v>
      </c>
      <c r="G37">
        <f t="shared" si="62"/>
        <v>150</v>
      </c>
      <c r="H37">
        <v>8</v>
      </c>
      <c r="I37">
        <f t="shared" si="48"/>
        <v>13.75</v>
      </c>
      <c r="J37">
        <f>SQRT(12*(1-0.3^2)*I37^2*N37/(4*PI()^2*O37))</f>
        <v>0.25065920326367425</v>
      </c>
      <c r="K37">
        <f t="shared" si="63"/>
        <v>0.55000000000000004</v>
      </c>
      <c r="L37">
        <f t="shared" si="61"/>
        <v>3</v>
      </c>
      <c r="M37">
        <v>2.5</v>
      </c>
      <c r="N37">
        <f t="shared" si="64"/>
        <v>235</v>
      </c>
      <c r="O37">
        <f>193000*D37+(1-D37)*206000</f>
        <v>195600</v>
      </c>
      <c r="P37">
        <f>H37*I37*H37*4</f>
        <v>3520</v>
      </c>
      <c r="Q37">
        <f>PI()*(M37*H37)^2-PI()*((M37-1)*H37)^2</f>
        <v>804.24771931898704</v>
      </c>
      <c r="R37">
        <f t="shared" si="65"/>
        <v>4324.247719318987</v>
      </c>
      <c r="S37">
        <f t="shared" si="52"/>
        <v>14118333.707433984</v>
      </c>
      <c r="T37">
        <f t="shared" si="66"/>
        <v>57.139500414724267</v>
      </c>
      <c r="U37">
        <f t="shared" si="67"/>
        <v>52.503084175144984</v>
      </c>
      <c r="W37">
        <f t="shared" si="68"/>
        <v>0.5792745506796716</v>
      </c>
      <c r="X37">
        <f t="shared" si="69"/>
        <v>1016.198214039962</v>
      </c>
      <c r="Y37">
        <v>938.1</v>
      </c>
      <c r="Z37">
        <f t="shared" si="37"/>
        <v>0.92314667260683581</v>
      </c>
      <c r="AA37" t="str">
        <f t="shared" si="38"/>
        <v>LC-R36</v>
      </c>
      <c r="AB37">
        <f t="shared" si="39"/>
        <v>490</v>
      </c>
      <c r="AC37">
        <f t="shared" si="46"/>
        <v>517.02058150931066</v>
      </c>
      <c r="AD37">
        <f t="shared" si="41"/>
        <v>519.7880493042129</v>
      </c>
      <c r="AE37">
        <f t="shared" si="42"/>
        <v>325.88344850615891</v>
      </c>
      <c r="AF37">
        <f t="shared" si="43"/>
        <v>356.90818463384755</v>
      </c>
      <c r="AG37">
        <f t="shared" si="44"/>
        <v>1114.242593498052</v>
      </c>
      <c r="AH37">
        <f t="shared" si="45"/>
        <v>0.84191719601647064</v>
      </c>
    </row>
    <row r="38" spans="1:34" x14ac:dyDescent="0.25">
      <c r="A38">
        <v>37</v>
      </c>
      <c r="B38">
        <v>355</v>
      </c>
      <c r="C38">
        <v>205</v>
      </c>
      <c r="D38">
        <v>0.8</v>
      </c>
      <c r="E38">
        <v>4000</v>
      </c>
      <c r="F38">
        <v>110</v>
      </c>
      <c r="G38">
        <f t="shared" si="62"/>
        <v>150</v>
      </c>
      <c r="H38">
        <v>8</v>
      </c>
      <c r="I38">
        <f t="shared" si="48"/>
        <v>13.75</v>
      </c>
      <c r="J38">
        <f t="shared" ref="J38:J45" si="70">SQRT(12*(1-0.3^2)*I38^2*N38/(4*PI()^2*O38))</f>
        <v>0.25065920326367425</v>
      </c>
      <c r="K38">
        <f t="shared" si="63"/>
        <v>0.55000000000000004</v>
      </c>
      <c r="L38">
        <f t="shared" si="61"/>
        <v>4</v>
      </c>
      <c r="M38">
        <v>2.5</v>
      </c>
      <c r="N38">
        <f t="shared" si="64"/>
        <v>235</v>
      </c>
      <c r="O38">
        <f t="shared" ref="O38:O45" si="71">193000*D38+(1-D38)*206000</f>
        <v>195600</v>
      </c>
      <c r="P38">
        <f t="shared" ref="P38:P45" si="72">H38*I38*H38*4</f>
        <v>3520</v>
      </c>
      <c r="Q38">
        <f t="shared" ref="Q38:Q45" si="73">PI()*(M38*H38)^2-PI()*((M38-1)*H38)^2</f>
        <v>804.24771931898704</v>
      </c>
      <c r="R38">
        <f t="shared" si="65"/>
        <v>4324.247719318987</v>
      </c>
      <c r="S38">
        <f t="shared" si="52"/>
        <v>14118333.707433984</v>
      </c>
      <c r="T38">
        <f t="shared" si="66"/>
        <v>57.139500414724267</v>
      </c>
      <c r="U38">
        <f t="shared" si="67"/>
        <v>70.004112233526641</v>
      </c>
      <c r="W38">
        <f t="shared" si="68"/>
        <v>0.77236606757289528</v>
      </c>
      <c r="X38">
        <f t="shared" si="69"/>
        <v>1016.198214039962</v>
      </c>
      <c r="Y38">
        <v>850.9</v>
      </c>
      <c r="Z38">
        <f t="shared" si="37"/>
        <v>0.8373366418517818</v>
      </c>
      <c r="AA38" t="str">
        <f t="shared" si="38"/>
        <v>LC-R37</v>
      </c>
      <c r="AB38">
        <f t="shared" si="39"/>
        <v>490</v>
      </c>
      <c r="AC38">
        <f t="shared" si="46"/>
        <v>517.02058150931066</v>
      </c>
      <c r="AD38">
        <f t="shared" si="41"/>
        <v>519.7880493042129</v>
      </c>
      <c r="AE38">
        <f t="shared" si="42"/>
        <v>325.88344850615891</v>
      </c>
      <c r="AF38">
        <f t="shared" si="43"/>
        <v>356.90818463384755</v>
      </c>
      <c r="AG38">
        <f t="shared" si="44"/>
        <v>1114.242593498052</v>
      </c>
      <c r="AH38">
        <f t="shared" si="45"/>
        <v>0.76365775726512608</v>
      </c>
    </row>
    <row r="39" spans="1:34" x14ac:dyDescent="0.25">
      <c r="A39">
        <v>38</v>
      </c>
      <c r="B39">
        <v>355</v>
      </c>
      <c r="C39">
        <v>205</v>
      </c>
      <c r="D39">
        <v>0.8</v>
      </c>
      <c r="E39">
        <v>5000</v>
      </c>
      <c r="F39">
        <v>110</v>
      </c>
      <c r="G39">
        <f t="shared" si="62"/>
        <v>150</v>
      </c>
      <c r="H39">
        <v>8</v>
      </c>
      <c r="I39">
        <f t="shared" si="48"/>
        <v>13.75</v>
      </c>
      <c r="J39">
        <f t="shared" si="70"/>
        <v>0.25065920326367425</v>
      </c>
      <c r="K39">
        <f t="shared" si="63"/>
        <v>0.55000000000000004</v>
      </c>
      <c r="L39">
        <f t="shared" si="61"/>
        <v>5</v>
      </c>
      <c r="M39">
        <v>2.5</v>
      </c>
      <c r="N39">
        <f t="shared" si="64"/>
        <v>235</v>
      </c>
      <c r="O39">
        <f t="shared" si="71"/>
        <v>195600</v>
      </c>
      <c r="P39">
        <f t="shared" si="72"/>
        <v>3520</v>
      </c>
      <c r="Q39">
        <f t="shared" si="73"/>
        <v>804.24771931898704</v>
      </c>
      <c r="R39">
        <f t="shared" si="65"/>
        <v>4324.247719318987</v>
      </c>
      <c r="S39">
        <f t="shared" si="52"/>
        <v>14118333.707433984</v>
      </c>
      <c r="T39">
        <f t="shared" si="66"/>
        <v>57.139500414724267</v>
      </c>
      <c r="U39">
        <f t="shared" si="67"/>
        <v>87.505140291908305</v>
      </c>
      <c r="W39">
        <f t="shared" si="68"/>
        <v>0.96545758446611907</v>
      </c>
      <c r="X39">
        <f t="shared" si="69"/>
        <v>1016.198214039962</v>
      </c>
      <c r="Y39">
        <v>723.3</v>
      </c>
      <c r="Z39">
        <f t="shared" si="37"/>
        <v>0.71177058767351487</v>
      </c>
      <c r="AA39" t="str">
        <f t="shared" si="38"/>
        <v>LC-R38</v>
      </c>
      <c r="AB39">
        <f t="shared" si="39"/>
        <v>490</v>
      </c>
      <c r="AC39">
        <f t="shared" si="46"/>
        <v>517.02058150931066</v>
      </c>
      <c r="AD39">
        <f t="shared" si="41"/>
        <v>519.7880493042129</v>
      </c>
      <c r="AE39">
        <f t="shared" si="42"/>
        <v>325.88344850615891</v>
      </c>
      <c r="AF39">
        <f t="shared" si="43"/>
        <v>356.90818463384755</v>
      </c>
      <c r="AG39">
        <f t="shared" si="44"/>
        <v>1114.242593498052</v>
      </c>
      <c r="AH39">
        <f t="shared" si="45"/>
        <v>0.64914050514733301</v>
      </c>
    </row>
    <row r="40" spans="1:34" x14ac:dyDescent="0.25">
      <c r="A40">
        <v>39</v>
      </c>
      <c r="B40">
        <v>355</v>
      </c>
      <c r="C40">
        <v>205</v>
      </c>
      <c r="D40">
        <v>0.8</v>
      </c>
      <c r="E40">
        <v>6000</v>
      </c>
      <c r="F40">
        <v>110</v>
      </c>
      <c r="G40">
        <f t="shared" si="62"/>
        <v>150</v>
      </c>
      <c r="H40">
        <v>8</v>
      </c>
      <c r="I40">
        <f t="shared" si="48"/>
        <v>13.75</v>
      </c>
      <c r="J40">
        <f t="shared" si="70"/>
        <v>0.25065920326367425</v>
      </c>
      <c r="K40">
        <f t="shared" si="63"/>
        <v>0.55000000000000004</v>
      </c>
      <c r="L40">
        <f t="shared" si="61"/>
        <v>6</v>
      </c>
      <c r="M40">
        <v>2.5</v>
      </c>
      <c r="N40">
        <f t="shared" si="64"/>
        <v>235</v>
      </c>
      <c r="O40">
        <f t="shared" si="71"/>
        <v>195600</v>
      </c>
      <c r="P40">
        <f t="shared" si="72"/>
        <v>3520</v>
      </c>
      <c r="Q40">
        <f t="shared" si="73"/>
        <v>804.24771931898704</v>
      </c>
      <c r="R40">
        <f t="shared" si="65"/>
        <v>4324.247719318987</v>
      </c>
      <c r="S40">
        <f t="shared" si="52"/>
        <v>14118333.707433984</v>
      </c>
      <c r="T40">
        <f t="shared" si="66"/>
        <v>57.139500414724267</v>
      </c>
      <c r="U40">
        <f t="shared" si="67"/>
        <v>105.00616835028997</v>
      </c>
      <c r="W40">
        <f t="shared" si="68"/>
        <v>1.1585491013593432</v>
      </c>
      <c r="X40">
        <f t="shared" si="69"/>
        <v>1016.198214039962</v>
      </c>
      <c r="Y40">
        <v>579.4</v>
      </c>
      <c r="Z40">
        <f t="shared" si="37"/>
        <v>0.57016435572796142</v>
      </c>
      <c r="AA40" t="str">
        <f t="shared" si="38"/>
        <v>LC-R39</v>
      </c>
      <c r="AB40">
        <f t="shared" si="39"/>
        <v>490</v>
      </c>
      <c r="AC40">
        <f t="shared" si="46"/>
        <v>517.02058150931066</v>
      </c>
      <c r="AD40">
        <f t="shared" si="41"/>
        <v>519.7880493042129</v>
      </c>
      <c r="AE40">
        <f t="shared" si="42"/>
        <v>325.88344850615891</v>
      </c>
      <c r="AF40">
        <f t="shared" si="43"/>
        <v>356.90818463384755</v>
      </c>
      <c r="AG40">
        <f t="shared" si="44"/>
        <v>1114.242593498052</v>
      </c>
      <c r="AH40">
        <f t="shared" si="45"/>
        <v>0.51999448179505703</v>
      </c>
    </row>
    <row r="41" spans="1:34" x14ac:dyDescent="0.25">
      <c r="A41">
        <v>40</v>
      </c>
      <c r="B41">
        <v>355</v>
      </c>
      <c r="C41">
        <v>205</v>
      </c>
      <c r="D41">
        <v>0.8</v>
      </c>
      <c r="E41">
        <v>7000</v>
      </c>
      <c r="F41">
        <v>110</v>
      </c>
      <c r="G41">
        <f t="shared" si="62"/>
        <v>150</v>
      </c>
      <c r="H41">
        <v>8</v>
      </c>
      <c r="I41">
        <f t="shared" si="48"/>
        <v>13.75</v>
      </c>
      <c r="J41">
        <f t="shared" si="70"/>
        <v>0.25065920326367425</v>
      </c>
      <c r="K41">
        <f t="shared" si="63"/>
        <v>0.55000000000000004</v>
      </c>
      <c r="L41">
        <f t="shared" si="61"/>
        <v>7</v>
      </c>
      <c r="M41">
        <v>2.5</v>
      </c>
      <c r="N41">
        <f t="shared" si="64"/>
        <v>235</v>
      </c>
      <c r="O41">
        <f t="shared" si="71"/>
        <v>195600</v>
      </c>
      <c r="P41">
        <f t="shared" si="72"/>
        <v>3520</v>
      </c>
      <c r="Q41">
        <f t="shared" si="73"/>
        <v>804.24771931898704</v>
      </c>
      <c r="R41">
        <f t="shared" si="65"/>
        <v>4324.247719318987</v>
      </c>
      <c r="S41">
        <f t="shared" si="52"/>
        <v>14118333.707433984</v>
      </c>
      <c r="T41">
        <f t="shared" si="66"/>
        <v>57.139500414724267</v>
      </c>
      <c r="U41">
        <f t="shared" si="67"/>
        <v>122.50719640867163</v>
      </c>
      <c r="W41">
        <f t="shared" si="68"/>
        <v>1.3516406182525667</v>
      </c>
      <c r="X41">
        <f t="shared" si="69"/>
        <v>1016.198214039962</v>
      </c>
      <c r="Y41">
        <v>461.2</v>
      </c>
      <c r="Z41">
        <f t="shared" si="37"/>
        <v>0.45384846541549156</v>
      </c>
      <c r="AA41" t="str">
        <f t="shared" si="38"/>
        <v>LC-R40</v>
      </c>
      <c r="AB41">
        <f t="shared" si="39"/>
        <v>490</v>
      </c>
      <c r="AC41">
        <f t="shared" si="46"/>
        <v>517.02058150931066</v>
      </c>
      <c r="AD41">
        <f t="shared" si="41"/>
        <v>519.7880493042129</v>
      </c>
      <c r="AE41">
        <f t="shared" si="42"/>
        <v>325.88344850615891</v>
      </c>
      <c r="AF41">
        <f t="shared" si="43"/>
        <v>356.90818463384755</v>
      </c>
      <c r="AG41">
        <f t="shared" si="44"/>
        <v>1114.242593498052</v>
      </c>
      <c r="AH41">
        <f t="shared" si="45"/>
        <v>0.41391345357935855</v>
      </c>
    </row>
    <row r="42" spans="1:34" x14ac:dyDescent="0.25">
      <c r="A42">
        <v>41</v>
      </c>
      <c r="B42">
        <v>355</v>
      </c>
      <c r="C42">
        <v>205</v>
      </c>
      <c r="D42">
        <v>0.8</v>
      </c>
      <c r="E42">
        <v>8000</v>
      </c>
      <c r="F42">
        <v>110</v>
      </c>
      <c r="G42">
        <f t="shared" si="62"/>
        <v>150</v>
      </c>
      <c r="H42">
        <v>8</v>
      </c>
      <c r="I42">
        <f t="shared" si="48"/>
        <v>13.75</v>
      </c>
      <c r="J42">
        <f t="shared" si="70"/>
        <v>0.25065920326367425</v>
      </c>
      <c r="K42">
        <f t="shared" si="63"/>
        <v>0.55000000000000004</v>
      </c>
      <c r="L42">
        <f t="shared" si="61"/>
        <v>8</v>
      </c>
      <c r="M42">
        <v>2.5</v>
      </c>
      <c r="N42">
        <f t="shared" si="64"/>
        <v>235</v>
      </c>
      <c r="O42">
        <f t="shared" si="71"/>
        <v>195600</v>
      </c>
      <c r="P42">
        <f t="shared" si="72"/>
        <v>3520</v>
      </c>
      <c r="Q42">
        <f t="shared" si="73"/>
        <v>804.24771931898704</v>
      </c>
      <c r="R42">
        <f t="shared" si="65"/>
        <v>4324.247719318987</v>
      </c>
      <c r="S42">
        <f t="shared" si="52"/>
        <v>14118333.707433984</v>
      </c>
      <c r="T42">
        <f t="shared" si="66"/>
        <v>57.139500414724267</v>
      </c>
      <c r="U42">
        <f t="shared" si="67"/>
        <v>140.00822446705328</v>
      </c>
      <c r="W42">
        <f t="shared" si="68"/>
        <v>1.5447321351457906</v>
      </c>
      <c r="X42">
        <f t="shared" si="69"/>
        <v>1016.198214039962</v>
      </c>
      <c r="Y42">
        <v>368.3</v>
      </c>
      <c r="Z42">
        <f t="shared" si="37"/>
        <v>0.36242929274181607</v>
      </c>
      <c r="AA42" t="str">
        <f t="shared" si="38"/>
        <v>LC-R41</v>
      </c>
      <c r="AB42">
        <f t="shared" si="39"/>
        <v>490</v>
      </c>
      <c r="AC42">
        <f t="shared" si="46"/>
        <v>517.02058150931066</v>
      </c>
      <c r="AD42">
        <f t="shared" si="41"/>
        <v>519.7880493042129</v>
      </c>
      <c r="AE42">
        <f t="shared" si="42"/>
        <v>325.88344850615891</v>
      </c>
      <c r="AF42">
        <f t="shared" si="43"/>
        <v>356.90818463384755</v>
      </c>
      <c r="AG42">
        <f t="shared" si="44"/>
        <v>1114.242593498052</v>
      </c>
      <c r="AH42">
        <f t="shared" si="45"/>
        <v>0.33053843224908447</v>
      </c>
    </row>
    <row r="43" spans="1:34" x14ac:dyDescent="0.25">
      <c r="A43">
        <v>42</v>
      </c>
      <c r="B43">
        <v>355</v>
      </c>
      <c r="C43">
        <v>205</v>
      </c>
      <c r="D43">
        <v>0.8</v>
      </c>
      <c r="E43">
        <v>9000</v>
      </c>
      <c r="F43">
        <v>110</v>
      </c>
      <c r="G43">
        <f t="shared" si="62"/>
        <v>150</v>
      </c>
      <c r="H43">
        <v>8</v>
      </c>
      <c r="I43">
        <f t="shared" si="48"/>
        <v>13.75</v>
      </c>
      <c r="J43">
        <f t="shared" si="70"/>
        <v>0.25065920326367425</v>
      </c>
      <c r="K43">
        <f t="shared" si="63"/>
        <v>0.55000000000000004</v>
      </c>
      <c r="L43">
        <f t="shared" si="61"/>
        <v>9</v>
      </c>
      <c r="M43">
        <v>2.5</v>
      </c>
      <c r="N43">
        <f t="shared" si="64"/>
        <v>235</v>
      </c>
      <c r="O43">
        <f t="shared" si="71"/>
        <v>195600</v>
      </c>
      <c r="P43">
        <f t="shared" si="72"/>
        <v>3520</v>
      </c>
      <c r="Q43">
        <f t="shared" si="73"/>
        <v>804.24771931898704</v>
      </c>
      <c r="R43">
        <f t="shared" si="65"/>
        <v>4324.247719318987</v>
      </c>
      <c r="S43">
        <f t="shared" si="52"/>
        <v>14118333.707433984</v>
      </c>
      <c r="T43">
        <f t="shared" si="66"/>
        <v>57.139500414724267</v>
      </c>
      <c r="U43">
        <f t="shared" si="67"/>
        <v>157.50925252543496</v>
      </c>
      <c r="W43">
        <f t="shared" si="68"/>
        <v>1.7378236520390145</v>
      </c>
      <c r="X43">
        <f t="shared" si="69"/>
        <v>1016.198214039962</v>
      </c>
      <c r="Y43">
        <v>298.3</v>
      </c>
      <c r="Z43">
        <f t="shared" si="37"/>
        <v>0.29354509374119936</v>
      </c>
      <c r="AA43" t="str">
        <f t="shared" si="38"/>
        <v>LC-R42</v>
      </c>
      <c r="AB43">
        <f t="shared" si="39"/>
        <v>490</v>
      </c>
      <c r="AC43">
        <f t="shared" si="46"/>
        <v>517.02058150931066</v>
      </c>
      <c r="AD43">
        <f t="shared" si="41"/>
        <v>519.7880493042129</v>
      </c>
      <c r="AE43">
        <f t="shared" si="42"/>
        <v>325.88344850615891</v>
      </c>
      <c r="AF43">
        <f t="shared" si="43"/>
        <v>356.90818463384755</v>
      </c>
      <c r="AG43">
        <f t="shared" si="44"/>
        <v>1114.242593498052</v>
      </c>
      <c r="AH43">
        <f t="shared" si="45"/>
        <v>0.26771548829731712</v>
      </c>
    </row>
    <row r="44" spans="1:34" x14ac:dyDescent="0.25">
      <c r="A44">
        <v>43</v>
      </c>
      <c r="B44">
        <v>355</v>
      </c>
      <c r="C44">
        <v>205</v>
      </c>
      <c r="D44">
        <v>0.8</v>
      </c>
      <c r="E44">
        <v>10000</v>
      </c>
      <c r="F44">
        <v>110</v>
      </c>
      <c r="G44">
        <f t="shared" si="62"/>
        <v>150</v>
      </c>
      <c r="H44">
        <v>8</v>
      </c>
      <c r="I44">
        <f t="shared" si="48"/>
        <v>13.75</v>
      </c>
      <c r="J44">
        <f t="shared" si="70"/>
        <v>0.25065920326367425</v>
      </c>
      <c r="K44">
        <f t="shared" si="63"/>
        <v>0.55000000000000004</v>
      </c>
      <c r="L44">
        <f t="shared" si="61"/>
        <v>10</v>
      </c>
      <c r="M44">
        <v>2.5</v>
      </c>
      <c r="N44">
        <f t="shared" si="64"/>
        <v>235</v>
      </c>
      <c r="O44">
        <f t="shared" si="71"/>
        <v>195600</v>
      </c>
      <c r="P44">
        <f t="shared" si="72"/>
        <v>3520</v>
      </c>
      <c r="Q44">
        <f t="shared" si="73"/>
        <v>804.24771931898704</v>
      </c>
      <c r="R44">
        <f t="shared" si="65"/>
        <v>4324.247719318987</v>
      </c>
      <c r="S44">
        <f t="shared" si="52"/>
        <v>14118333.707433984</v>
      </c>
      <c r="T44">
        <f t="shared" si="66"/>
        <v>57.139500414724267</v>
      </c>
      <c r="U44">
        <f t="shared" si="67"/>
        <v>175.01028058381661</v>
      </c>
      <c r="W44">
        <f t="shared" si="68"/>
        <v>1.9309151689322381</v>
      </c>
      <c r="X44">
        <f t="shared" si="69"/>
        <v>1016.198214039962</v>
      </c>
      <c r="Y44">
        <v>246</v>
      </c>
      <c r="Z44">
        <f t="shared" ref="Z44:Z64" si="74">Y44/X44</f>
        <v>0.24207875648788146</v>
      </c>
      <c r="AA44" t="str">
        <f t="shared" ref="AA44:AA67" si="75">"LC-R"&amp;A44</f>
        <v>LC-R43</v>
      </c>
      <c r="AB44">
        <f t="shared" ref="AB44:AB67" si="76">IF(B44=235,360,IF(B44=355,490,560))</f>
        <v>490</v>
      </c>
      <c r="AC44">
        <f t="shared" si="46"/>
        <v>517.02058150931066</v>
      </c>
      <c r="AD44">
        <f t="shared" ref="AD44:AD67" si="77">B44*(2.769*(AB44/B44)-0.581*(AB44/B44)^2-1.182)/((M44-1)^(0.314*(AB44/B44)-0.32))</f>
        <v>519.7880493042129</v>
      </c>
      <c r="AE44">
        <f t="shared" ref="AE44:AE67" si="78">1.673*C44/(M44-1)^0.126</f>
        <v>325.88344850615891</v>
      </c>
      <c r="AF44">
        <f t="shared" ref="AF44:AF64" si="79">AD44*(1-((2*M44*H44-D44*H44)/(2*M44*H44-H44)*D44))+AE44*((2*M44*H44-D44*H44)/(2*M44*H44-H44)*D44)</f>
        <v>356.90818463384755</v>
      </c>
      <c r="AG44">
        <f t="shared" ref="AG44:AG64" si="80">(AF44*Q44+N44*P44)/1000</f>
        <v>1114.242593498052</v>
      </c>
      <c r="AH44">
        <f t="shared" ref="AH44:AH64" si="81">Y44/AG44</f>
        <v>0.22077777445906807</v>
      </c>
    </row>
    <row r="45" spans="1:34" x14ac:dyDescent="0.25">
      <c r="A45">
        <v>44</v>
      </c>
      <c r="B45">
        <v>355</v>
      </c>
      <c r="C45">
        <v>205</v>
      </c>
      <c r="D45">
        <v>0.8</v>
      </c>
      <c r="E45">
        <v>12000</v>
      </c>
      <c r="F45">
        <v>110</v>
      </c>
      <c r="G45">
        <f t="shared" si="62"/>
        <v>150</v>
      </c>
      <c r="H45">
        <v>8</v>
      </c>
      <c r="I45">
        <f t="shared" si="48"/>
        <v>13.75</v>
      </c>
      <c r="J45">
        <f t="shared" si="70"/>
        <v>0.25065920326367425</v>
      </c>
      <c r="K45">
        <f t="shared" si="63"/>
        <v>0.55000000000000004</v>
      </c>
      <c r="L45">
        <f t="shared" si="61"/>
        <v>12</v>
      </c>
      <c r="M45">
        <v>2.5</v>
      </c>
      <c r="N45">
        <f t="shared" si="64"/>
        <v>235</v>
      </c>
      <c r="O45">
        <f t="shared" si="71"/>
        <v>195600</v>
      </c>
      <c r="P45">
        <f t="shared" si="72"/>
        <v>3520</v>
      </c>
      <c r="Q45">
        <f t="shared" si="73"/>
        <v>804.24771931898704</v>
      </c>
      <c r="R45">
        <f t="shared" si="65"/>
        <v>4324.247719318987</v>
      </c>
      <c r="S45">
        <f t="shared" si="52"/>
        <v>14118333.707433984</v>
      </c>
      <c r="T45">
        <f t="shared" si="66"/>
        <v>57.139500414724267</v>
      </c>
      <c r="U45">
        <f t="shared" si="67"/>
        <v>210.01233670057994</v>
      </c>
      <c r="W45">
        <f t="shared" si="68"/>
        <v>2.3170982027186864</v>
      </c>
      <c r="X45">
        <f t="shared" si="69"/>
        <v>1016.198214039962</v>
      </c>
      <c r="Y45">
        <v>174.6</v>
      </c>
      <c r="Z45">
        <f t="shared" si="74"/>
        <v>0.17181687350725244</v>
      </c>
      <c r="AA45" t="str">
        <f t="shared" si="75"/>
        <v>LC-R44</v>
      </c>
      <c r="AB45">
        <f t="shared" si="76"/>
        <v>490</v>
      </c>
      <c r="AC45">
        <f t="shared" ref="AC45" si="82">C45/(0.2+185*C45/193000)</f>
        <v>517.02058150931066</v>
      </c>
      <c r="AD45">
        <f t="shared" si="77"/>
        <v>519.7880493042129</v>
      </c>
      <c r="AE45">
        <f t="shared" si="78"/>
        <v>325.88344850615891</v>
      </c>
      <c r="AF45">
        <f t="shared" si="79"/>
        <v>356.90818463384755</v>
      </c>
      <c r="AG45">
        <f t="shared" si="80"/>
        <v>1114.242593498052</v>
      </c>
      <c r="AH45">
        <f t="shared" si="81"/>
        <v>0.15669837162826539</v>
      </c>
    </row>
    <row r="46" spans="1:34" x14ac:dyDescent="0.25">
      <c r="A46">
        <v>45</v>
      </c>
      <c r="B46">
        <v>355</v>
      </c>
      <c r="C46">
        <v>205</v>
      </c>
      <c r="D46">
        <v>0.2</v>
      </c>
      <c r="E46">
        <v>1000</v>
      </c>
      <c r="F46">
        <v>110</v>
      </c>
      <c r="G46">
        <f>F46+2*H46*M46</f>
        <v>150</v>
      </c>
      <c r="H46">
        <v>8</v>
      </c>
      <c r="I46">
        <f>F46/H46</f>
        <v>13.75</v>
      </c>
      <c r="J46">
        <f>SQRT(12*(1-0.3^2)*I46^2*N46/(4*PI()^2*O46))</f>
        <v>0.28906822465146947</v>
      </c>
      <c r="K46">
        <f>H46*I46/200</f>
        <v>0.55000000000000004</v>
      </c>
      <c r="L46">
        <f t="shared" si="61"/>
        <v>1</v>
      </c>
      <c r="M46">
        <v>2.5</v>
      </c>
      <c r="N46">
        <f>D46*C46+(1-D46)*B46</f>
        <v>325</v>
      </c>
      <c r="O46">
        <f>193000*D46+(1-D46)*206000</f>
        <v>203400</v>
      </c>
      <c r="P46">
        <f>H46*I46*H46*4</f>
        <v>3520</v>
      </c>
      <c r="Q46">
        <f>PI()*(M46*H46)^2-PI()*((M46-1)*H46)^2</f>
        <v>804.24771931898704</v>
      </c>
      <c r="R46">
        <f>P46+Q46</f>
        <v>4324.247719318987</v>
      </c>
      <c r="S46">
        <f>1/12*H46*(H46*I46)^3*2+(1/12*(H46*I46)*H46^3+(H46*I46)*H46*(G46/2-H46/2)^2)*2+PI()/8*((M46*H46)^4-((M46-1)*H46)^4)*2+1/2*PI()*((M46*H46)^2-((M46-1)*H46)^2)*(-1*((4*((M46*H46)^3-((M46-1)*H46)^3))/(3*PI()*((M46*H46)^2-((M46-1)*H46)^2)))^2+1*((4*((M46*H46)^3-((M46-1)*H46)^3))/(3*PI()*((M46*H46)^2-((M46-1)*H46)^2))+H46*I46/2)^2)*2</f>
        <v>14118333.707433984</v>
      </c>
      <c r="T46">
        <f>SQRT(S46/R46)</f>
        <v>57.139500414724267</v>
      </c>
      <c r="U46">
        <f>E46/T46</f>
        <v>17.50102805838166</v>
      </c>
      <c r="V46" t="s">
        <v>36</v>
      </c>
      <c r="W46">
        <f>U46/PI()*SQRT(N46/O46)</f>
        <v>0.22267932418531081</v>
      </c>
      <c r="X46">
        <f>R46*N46/1000</f>
        <v>1405.3805087786709</v>
      </c>
      <c r="Y46">
        <v>1528.6</v>
      </c>
      <c r="Z46">
        <f t="shared" si="74"/>
        <v>1.0876769604044185</v>
      </c>
      <c r="AA46" t="str">
        <f t="shared" si="75"/>
        <v>LC-R45</v>
      </c>
      <c r="AB46">
        <f t="shared" si="76"/>
        <v>490</v>
      </c>
      <c r="AC46">
        <f t="shared" ref="AC46:AC66" si="83">C46/(0.2+185*C46/193000)</f>
        <v>517.02058150931066</v>
      </c>
      <c r="AD46">
        <f t="shared" si="77"/>
        <v>519.7880493042129</v>
      </c>
      <c r="AE46">
        <f t="shared" si="78"/>
        <v>325.88344850615891</v>
      </c>
      <c r="AF46">
        <f t="shared" si="79"/>
        <v>473.25094511267991</v>
      </c>
      <c r="AG46">
        <f t="shared" si="80"/>
        <v>1524.610993272428</v>
      </c>
      <c r="AH46">
        <f t="shared" si="81"/>
        <v>1.0026164095268721</v>
      </c>
    </row>
    <row r="47" spans="1:34" x14ac:dyDescent="0.25">
      <c r="A47">
        <v>46</v>
      </c>
      <c r="B47">
        <v>355</v>
      </c>
      <c r="C47">
        <v>205</v>
      </c>
      <c r="D47">
        <v>0.2</v>
      </c>
      <c r="E47">
        <v>2000</v>
      </c>
      <c r="F47">
        <v>110</v>
      </c>
      <c r="G47">
        <f t="shared" ref="G47:G56" si="84">F47+2*H47*M47</f>
        <v>150</v>
      </c>
      <c r="H47">
        <v>8</v>
      </c>
      <c r="I47">
        <f t="shared" ref="I47:I67" si="85">F47/H47</f>
        <v>13.75</v>
      </c>
      <c r="J47">
        <f>SQRT(12*(1-0.3^2)*I47^2*N47/(4*PI()^2*O47))</f>
        <v>0.28906822465146947</v>
      </c>
      <c r="K47">
        <f t="shared" ref="K47:K56" si="86">H47*I47/200</f>
        <v>0.55000000000000004</v>
      </c>
      <c r="L47">
        <f t="shared" si="61"/>
        <v>2</v>
      </c>
      <c r="M47">
        <v>2.5</v>
      </c>
      <c r="N47">
        <f t="shared" ref="N47:N56" si="87">D47*C47+(1-D47)*B47</f>
        <v>325</v>
      </c>
      <c r="O47">
        <f>193000*D47+(1-D47)*206000</f>
        <v>203400</v>
      </c>
      <c r="P47">
        <f>H47*I47*H47*4</f>
        <v>3520</v>
      </c>
      <c r="Q47">
        <f>PI()*(M47*H47)^2-PI()*((M47-1)*H47)^2</f>
        <v>804.24771931898704</v>
      </c>
      <c r="R47">
        <f t="shared" ref="R47:R56" si="88">P47+Q47</f>
        <v>4324.247719318987</v>
      </c>
      <c r="S47">
        <f t="shared" ref="S47:S67" si="89">1/12*H47*(H47*I47)^3*2+(1/12*(H47*I47)*H47^3+(H47*I47)*H47*(G47/2-H47/2)^2)*2+PI()/8*((M47*H47)^4-((M47-1)*H47)^4)*2+1/2*PI()*((M47*H47)^2-((M47-1)*H47)^2)*(-1*((4*((M47*H47)^3-((M47-1)*H47)^3))/(3*PI()*((M47*H47)^2-((M47-1)*H47)^2)))^2+1*((4*((M47*H47)^3-((M47-1)*H47)^3))/(3*PI()*((M47*H47)^2-((M47-1)*H47)^2))+H47*I47/2)^2)*2</f>
        <v>14118333.707433984</v>
      </c>
      <c r="T47">
        <f t="shared" ref="T47:T56" si="90">SQRT(S47/R47)</f>
        <v>57.139500414724267</v>
      </c>
      <c r="U47">
        <f t="shared" ref="U47:U56" si="91">E47/T47</f>
        <v>35.00205611676332</v>
      </c>
      <c r="W47">
        <f t="shared" ref="W47:W56" si="92">U47/PI()*SQRT(N47/O47)</f>
        <v>0.44535864837062161</v>
      </c>
      <c r="X47">
        <f t="shared" ref="X47:X56" si="93">R47*N47/1000</f>
        <v>1405.3805087786709</v>
      </c>
      <c r="Y47">
        <v>1421.2</v>
      </c>
      <c r="Z47">
        <f t="shared" si="74"/>
        <v>1.0112563758516027</v>
      </c>
      <c r="AA47" t="str">
        <f t="shared" si="75"/>
        <v>LC-R46</v>
      </c>
      <c r="AB47">
        <f t="shared" si="76"/>
        <v>490</v>
      </c>
      <c r="AC47">
        <f t="shared" si="83"/>
        <v>517.02058150931066</v>
      </c>
      <c r="AD47">
        <f t="shared" si="77"/>
        <v>519.7880493042129</v>
      </c>
      <c r="AE47">
        <f t="shared" si="78"/>
        <v>325.88344850615891</v>
      </c>
      <c r="AF47">
        <f t="shared" si="79"/>
        <v>473.25094511267991</v>
      </c>
      <c r="AG47">
        <f t="shared" si="80"/>
        <v>1524.610993272428</v>
      </c>
      <c r="AH47">
        <f t="shared" si="81"/>
        <v>0.93217221066308431</v>
      </c>
    </row>
    <row r="48" spans="1:34" x14ac:dyDescent="0.25">
      <c r="A48">
        <v>47</v>
      </c>
      <c r="B48">
        <v>355</v>
      </c>
      <c r="C48">
        <v>205</v>
      </c>
      <c r="D48">
        <v>0.2</v>
      </c>
      <c r="E48">
        <v>3000</v>
      </c>
      <c r="F48">
        <v>110</v>
      </c>
      <c r="G48">
        <f t="shared" si="84"/>
        <v>150</v>
      </c>
      <c r="H48">
        <v>8</v>
      </c>
      <c r="I48">
        <f t="shared" si="85"/>
        <v>13.75</v>
      </c>
      <c r="J48">
        <f>SQRT(12*(1-0.3^2)*I48^2*N48/(4*PI()^2*O48))</f>
        <v>0.28906822465146947</v>
      </c>
      <c r="K48">
        <f t="shared" si="86"/>
        <v>0.55000000000000004</v>
      </c>
      <c r="L48">
        <f t="shared" si="61"/>
        <v>3</v>
      </c>
      <c r="M48">
        <v>2.5</v>
      </c>
      <c r="N48">
        <f t="shared" si="87"/>
        <v>325</v>
      </c>
      <c r="O48">
        <f>193000*D48+(1-D48)*206000</f>
        <v>203400</v>
      </c>
      <c r="P48">
        <f>H48*I48*H48*4</f>
        <v>3520</v>
      </c>
      <c r="Q48">
        <f>PI()*(M48*H48)^2-PI()*((M48-1)*H48)^2</f>
        <v>804.24771931898704</v>
      </c>
      <c r="R48">
        <f t="shared" si="88"/>
        <v>4324.247719318987</v>
      </c>
      <c r="S48">
        <f t="shared" si="89"/>
        <v>14118333.707433984</v>
      </c>
      <c r="T48">
        <f t="shared" si="90"/>
        <v>57.139500414724267</v>
      </c>
      <c r="U48">
        <f t="shared" si="91"/>
        <v>52.503084175144984</v>
      </c>
      <c r="W48">
        <f t="shared" si="92"/>
        <v>0.66803797255593245</v>
      </c>
      <c r="X48">
        <f t="shared" si="93"/>
        <v>1405.3805087786709</v>
      </c>
      <c r="Y48">
        <v>1256.7</v>
      </c>
      <c r="Z48">
        <f t="shared" si="74"/>
        <v>0.8942062253959393</v>
      </c>
      <c r="AA48" t="str">
        <f t="shared" si="75"/>
        <v>LC-R47</v>
      </c>
      <c r="AB48">
        <f t="shared" si="76"/>
        <v>490</v>
      </c>
      <c r="AC48">
        <f t="shared" si="83"/>
        <v>517.02058150931066</v>
      </c>
      <c r="AD48">
        <f t="shared" si="77"/>
        <v>519.7880493042129</v>
      </c>
      <c r="AE48">
        <f t="shared" si="78"/>
        <v>325.88344850615891</v>
      </c>
      <c r="AF48">
        <f t="shared" si="79"/>
        <v>473.25094511267991</v>
      </c>
      <c r="AG48">
        <f t="shared" si="80"/>
        <v>1524.610993272428</v>
      </c>
      <c r="AH48">
        <f t="shared" si="81"/>
        <v>0.82427583530839998</v>
      </c>
    </row>
    <row r="49" spans="1:34" x14ac:dyDescent="0.25">
      <c r="A49">
        <v>48</v>
      </c>
      <c r="B49">
        <v>355</v>
      </c>
      <c r="C49">
        <v>205</v>
      </c>
      <c r="D49">
        <v>0.2</v>
      </c>
      <c r="E49">
        <v>4000</v>
      </c>
      <c r="F49">
        <v>110</v>
      </c>
      <c r="G49">
        <f t="shared" si="84"/>
        <v>150</v>
      </c>
      <c r="H49">
        <v>8</v>
      </c>
      <c r="I49">
        <f t="shared" si="85"/>
        <v>13.75</v>
      </c>
      <c r="J49">
        <f t="shared" ref="J49:J56" si="94">SQRT(12*(1-0.3^2)*I49^2*N49/(4*PI()^2*O49))</f>
        <v>0.28906822465146947</v>
      </c>
      <c r="K49">
        <f t="shared" si="86"/>
        <v>0.55000000000000004</v>
      </c>
      <c r="L49">
        <f t="shared" si="61"/>
        <v>4</v>
      </c>
      <c r="M49">
        <v>2.5</v>
      </c>
      <c r="N49">
        <f t="shared" si="87"/>
        <v>325</v>
      </c>
      <c r="O49">
        <f t="shared" ref="O49:O56" si="95">193000*D49+(1-D49)*206000</f>
        <v>203400</v>
      </c>
      <c r="P49">
        <f t="shared" ref="P49:P56" si="96">H49*I49*H49*4</f>
        <v>3520</v>
      </c>
      <c r="Q49">
        <f t="shared" ref="Q49:Q56" si="97">PI()*(M49*H49)^2-PI()*((M49-1)*H49)^2</f>
        <v>804.24771931898704</v>
      </c>
      <c r="R49">
        <f t="shared" si="88"/>
        <v>4324.247719318987</v>
      </c>
      <c r="S49">
        <f t="shared" si="89"/>
        <v>14118333.707433984</v>
      </c>
      <c r="T49">
        <f t="shared" si="90"/>
        <v>57.139500414724267</v>
      </c>
      <c r="U49">
        <f t="shared" si="91"/>
        <v>70.004112233526641</v>
      </c>
      <c r="W49">
        <f t="shared" si="92"/>
        <v>0.89071729674124323</v>
      </c>
      <c r="X49">
        <f t="shared" si="93"/>
        <v>1405.3805087786709</v>
      </c>
      <c r="Y49">
        <v>1070.5999999999999</v>
      </c>
      <c r="Z49">
        <f t="shared" si="74"/>
        <v>0.76178657190172083</v>
      </c>
      <c r="AA49" t="str">
        <f t="shared" si="75"/>
        <v>LC-R48</v>
      </c>
      <c r="AB49">
        <f t="shared" si="76"/>
        <v>490</v>
      </c>
      <c r="AC49">
        <f t="shared" si="83"/>
        <v>517.02058150931066</v>
      </c>
      <c r="AD49">
        <f t="shared" si="77"/>
        <v>519.7880493042129</v>
      </c>
      <c r="AE49">
        <f t="shared" si="78"/>
        <v>325.88344850615891</v>
      </c>
      <c r="AF49">
        <f t="shared" si="79"/>
        <v>473.25094511267991</v>
      </c>
      <c r="AG49">
        <f t="shared" si="80"/>
        <v>1524.610993272428</v>
      </c>
      <c r="AH49">
        <f t="shared" si="81"/>
        <v>0.70221191157887564</v>
      </c>
    </row>
    <row r="50" spans="1:34" x14ac:dyDescent="0.25">
      <c r="A50">
        <v>49</v>
      </c>
      <c r="B50">
        <v>355</v>
      </c>
      <c r="C50">
        <v>205</v>
      </c>
      <c r="D50">
        <v>0.2</v>
      </c>
      <c r="E50">
        <v>5000</v>
      </c>
      <c r="F50">
        <v>110</v>
      </c>
      <c r="G50">
        <f t="shared" si="84"/>
        <v>150</v>
      </c>
      <c r="H50">
        <v>8</v>
      </c>
      <c r="I50">
        <f t="shared" si="85"/>
        <v>13.75</v>
      </c>
      <c r="J50">
        <f t="shared" si="94"/>
        <v>0.28906822465146947</v>
      </c>
      <c r="K50">
        <f t="shared" si="86"/>
        <v>0.55000000000000004</v>
      </c>
      <c r="L50">
        <f t="shared" si="61"/>
        <v>5</v>
      </c>
      <c r="M50">
        <v>2.5</v>
      </c>
      <c r="N50">
        <f t="shared" si="87"/>
        <v>325</v>
      </c>
      <c r="O50">
        <f t="shared" si="95"/>
        <v>203400</v>
      </c>
      <c r="P50">
        <f t="shared" si="96"/>
        <v>3520</v>
      </c>
      <c r="Q50">
        <f t="shared" si="97"/>
        <v>804.24771931898704</v>
      </c>
      <c r="R50">
        <f t="shared" si="88"/>
        <v>4324.247719318987</v>
      </c>
      <c r="S50">
        <f t="shared" si="89"/>
        <v>14118333.707433984</v>
      </c>
      <c r="T50">
        <f t="shared" si="90"/>
        <v>57.139500414724267</v>
      </c>
      <c r="U50">
        <f t="shared" si="91"/>
        <v>87.505140291908305</v>
      </c>
      <c r="W50">
        <f t="shared" si="92"/>
        <v>1.113396620926554</v>
      </c>
      <c r="X50">
        <f t="shared" si="93"/>
        <v>1405.3805087786709</v>
      </c>
      <c r="Y50">
        <v>848.5</v>
      </c>
      <c r="Z50">
        <f t="shared" si="74"/>
        <v>0.6037510800099104</v>
      </c>
      <c r="AA50" t="str">
        <f t="shared" si="75"/>
        <v>LC-R49</v>
      </c>
      <c r="AB50">
        <f t="shared" si="76"/>
        <v>490</v>
      </c>
      <c r="AC50">
        <f t="shared" si="83"/>
        <v>517.02058150931066</v>
      </c>
      <c r="AD50">
        <f t="shared" si="77"/>
        <v>519.7880493042129</v>
      </c>
      <c r="AE50">
        <f t="shared" si="78"/>
        <v>325.88344850615891</v>
      </c>
      <c r="AF50">
        <f t="shared" si="79"/>
        <v>473.25094511267991</v>
      </c>
      <c r="AG50">
        <f t="shared" si="80"/>
        <v>1524.610993272428</v>
      </c>
      <c r="AH50">
        <f t="shared" si="81"/>
        <v>0.55653540722461792</v>
      </c>
    </row>
    <row r="51" spans="1:34" x14ac:dyDescent="0.25">
      <c r="A51">
        <v>50</v>
      </c>
      <c r="B51">
        <v>355</v>
      </c>
      <c r="C51">
        <v>205</v>
      </c>
      <c r="D51">
        <v>0.2</v>
      </c>
      <c r="E51">
        <v>6000</v>
      </c>
      <c r="F51">
        <v>110</v>
      </c>
      <c r="G51">
        <f t="shared" si="84"/>
        <v>150</v>
      </c>
      <c r="H51">
        <v>8</v>
      </c>
      <c r="I51">
        <f t="shared" si="85"/>
        <v>13.75</v>
      </c>
      <c r="J51">
        <f t="shared" si="94"/>
        <v>0.28906822465146947</v>
      </c>
      <c r="K51">
        <f t="shared" si="86"/>
        <v>0.55000000000000004</v>
      </c>
      <c r="L51">
        <f t="shared" si="61"/>
        <v>6</v>
      </c>
      <c r="M51">
        <v>2.5</v>
      </c>
      <c r="N51">
        <f t="shared" si="87"/>
        <v>325</v>
      </c>
      <c r="O51">
        <f t="shared" si="95"/>
        <v>203400</v>
      </c>
      <c r="P51">
        <f t="shared" si="96"/>
        <v>3520</v>
      </c>
      <c r="Q51">
        <f t="shared" si="97"/>
        <v>804.24771931898704</v>
      </c>
      <c r="R51">
        <f t="shared" si="88"/>
        <v>4324.247719318987</v>
      </c>
      <c r="S51">
        <f t="shared" si="89"/>
        <v>14118333.707433984</v>
      </c>
      <c r="T51">
        <f t="shared" si="90"/>
        <v>57.139500414724267</v>
      </c>
      <c r="U51">
        <f t="shared" si="91"/>
        <v>105.00616835028997</v>
      </c>
      <c r="W51">
        <f t="shared" si="92"/>
        <v>1.3360759451118649</v>
      </c>
      <c r="X51">
        <f t="shared" si="93"/>
        <v>1405.3805087786709</v>
      </c>
      <c r="Y51">
        <v>647.1</v>
      </c>
      <c r="Z51">
        <f t="shared" si="74"/>
        <v>0.46044469519671544</v>
      </c>
      <c r="AA51" t="str">
        <f t="shared" si="75"/>
        <v>LC-R50</v>
      </c>
      <c r="AB51">
        <f t="shared" si="76"/>
        <v>490</v>
      </c>
      <c r="AC51">
        <f t="shared" si="83"/>
        <v>517.02058150931066</v>
      </c>
      <c r="AD51">
        <f t="shared" si="77"/>
        <v>519.7880493042129</v>
      </c>
      <c r="AE51">
        <f t="shared" si="78"/>
        <v>325.88344850615891</v>
      </c>
      <c r="AF51">
        <f t="shared" si="79"/>
        <v>473.25094511267991</v>
      </c>
      <c r="AG51">
        <f t="shared" si="80"/>
        <v>1524.610993272428</v>
      </c>
      <c r="AH51">
        <f t="shared" si="81"/>
        <v>0.42443613672958197</v>
      </c>
    </row>
    <row r="52" spans="1:34" x14ac:dyDescent="0.25">
      <c r="A52">
        <v>51</v>
      </c>
      <c r="B52">
        <v>355</v>
      </c>
      <c r="C52">
        <v>205</v>
      </c>
      <c r="D52">
        <v>0.2</v>
      </c>
      <c r="E52">
        <v>7000</v>
      </c>
      <c r="F52">
        <v>110</v>
      </c>
      <c r="G52">
        <f t="shared" si="84"/>
        <v>150</v>
      </c>
      <c r="H52">
        <v>8</v>
      </c>
      <c r="I52">
        <f t="shared" si="85"/>
        <v>13.75</v>
      </c>
      <c r="J52">
        <f t="shared" si="94"/>
        <v>0.28906822465146947</v>
      </c>
      <c r="K52">
        <f t="shared" si="86"/>
        <v>0.55000000000000004</v>
      </c>
      <c r="L52">
        <f t="shared" si="61"/>
        <v>7</v>
      </c>
      <c r="M52">
        <v>2.5</v>
      </c>
      <c r="N52">
        <f t="shared" si="87"/>
        <v>325</v>
      </c>
      <c r="O52">
        <f t="shared" si="95"/>
        <v>203400</v>
      </c>
      <c r="P52">
        <f t="shared" si="96"/>
        <v>3520</v>
      </c>
      <c r="Q52">
        <f t="shared" si="97"/>
        <v>804.24771931898704</v>
      </c>
      <c r="R52">
        <f t="shared" si="88"/>
        <v>4324.247719318987</v>
      </c>
      <c r="S52">
        <f t="shared" si="89"/>
        <v>14118333.707433984</v>
      </c>
      <c r="T52">
        <f t="shared" si="90"/>
        <v>57.139500414724267</v>
      </c>
      <c r="U52">
        <f t="shared" si="91"/>
        <v>122.50719640867163</v>
      </c>
      <c r="W52">
        <f t="shared" si="92"/>
        <v>1.5587552692971756</v>
      </c>
      <c r="X52">
        <f t="shared" si="93"/>
        <v>1405.3805087786709</v>
      </c>
      <c r="Y52">
        <v>492.3</v>
      </c>
      <c r="Z52">
        <f t="shared" si="74"/>
        <v>0.35029659008707004</v>
      </c>
      <c r="AA52" t="str">
        <f t="shared" si="75"/>
        <v>LC-R51</v>
      </c>
      <c r="AB52">
        <f t="shared" si="76"/>
        <v>490</v>
      </c>
      <c r="AC52">
        <f t="shared" si="83"/>
        <v>517.02058150931066</v>
      </c>
      <c r="AD52">
        <f t="shared" si="77"/>
        <v>519.7880493042129</v>
      </c>
      <c r="AE52">
        <f t="shared" si="78"/>
        <v>325.88344850615891</v>
      </c>
      <c r="AF52">
        <f t="shared" si="79"/>
        <v>473.25094511267991</v>
      </c>
      <c r="AG52">
        <f t="shared" si="80"/>
        <v>1524.610993272428</v>
      </c>
      <c r="AH52">
        <f t="shared" si="81"/>
        <v>0.32290204004322853</v>
      </c>
    </row>
    <row r="53" spans="1:34" x14ac:dyDescent="0.25">
      <c r="A53">
        <v>52</v>
      </c>
      <c r="B53">
        <v>355</v>
      </c>
      <c r="C53">
        <v>205</v>
      </c>
      <c r="D53">
        <v>0.2</v>
      </c>
      <c r="E53">
        <v>8000</v>
      </c>
      <c r="F53">
        <v>110</v>
      </c>
      <c r="G53">
        <f t="shared" si="84"/>
        <v>150</v>
      </c>
      <c r="H53">
        <v>8</v>
      </c>
      <c r="I53">
        <f t="shared" si="85"/>
        <v>13.75</v>
      </c>
      <c r="J53">
        <f t="shared" si="94"/>
        <v>0.28906822465146947</v>
      </c>
      <c r="K53">
        <f t="shared" si="86"/>
        <v>0.55000000000000004</v>
      </c>
      <c r="L53">
        <f t="shared" si="61"/>
        <v>8</v>
      </c>
      <c r="M53">
        <v>2.5</v>
      </c>
      <c r="N53">
        <f t="shared" si="87"/>
        <v>325</v>
      </c>
      <c r="O53">
        <f t="shared" si="95"/>
        <v>203400</v>
      </c>
      <c r="P53">
        <f t="shared" si="96"/>
        <v>3520</v>
      </c>
      <c r="Q53">
        <f t="shared" si="97"/>
        <v>804.24771931898704</v>
      </c>
      <c r="R53">
        <f t="shared" si="88"/>
        <v>4324.247719318987</v>
      </c>
      <c r="S53">
        <f t="shared" si="89"/>
        <v>14118333.707433984</v>
      </c>
      <c r="T53">
        <f t="shared" si="90"/>
        <v>57.139500414724267</v>
      </c>
      <c r="U53">
        <f t="shared" si="91"/>
        <v>140.00822446705328</v>
      </c>
      <c r="W53">
        <f t="shared" si="92"/>
        <v>1.7814345934824865</v>
      </c>
      <c r="X53">
        <f t="shared" si="93"/>
        <v>1405.3805087786709</v>
      </c>
      <c r="Y53">
        <v>382.1</v>
      </c>
      <c r="Z53">
        <f t="shared" si="74"/>
        <v>0.27188366254777468</v>
      </c>
      <c r="AA53" t="str">
        <f t="shared" si="75"/>
        <v>LC-R52</v>
      </c>
      <c r="AB53">
        <f t="shared" si="76"/>
        <v>490</v>
      </c>
      <c r="AC53">
        <f t="shared" si="83"/>
        <v>517.02058150931066</v>
      </c>
      <c r="AD53">
        <f t="shared" si="77"/>
        <v>519.7880493042129</v>
      </c>
      <c r="AE53">
        <f t="shared" si="78"/>
        <v>325.88344850615891</v>
      </c>
      <c r="AF53">
        <f t="shared" si="79"/>
        <v>473.25094511267991</v>
      </c>
      <c r="AG53">
        <f t="shared" si="80"/>
        <v>1524.610993272428</v>
      </c>
      <c r="AH53">
        <f t="shared" si="81"/>
        <v>0.25062130713085035</v>
      </c>
    </row>
    <row r="54" spans="1:34" x14ac:dyDescent="0.25">
      <c r="A54">
        <v>53</v>
      </c>
      <c r="B54">
        <v>355</v>
      </c>
      <c r="C54">
        <v>205</v>
      </c>
      <c r="D54">
        <v>0.2</v>
      </c>
      <c r="E54">
        <v>9000</v>
      </c>
      <c r="F54">
        <v>110</v>
      </c>
      <c r="G54">
        <f t="shared" si="84"/>
        <v>150</v>
      </c>
      <c r="H54">
        <v>8</v>
      </c>
      <c r="I54">
        <f t="shared" si="85"/>
        <v>13.75</v>
      </c>
      <c r="J54">
        <f t="shared" si="94"/>
        <v>0.28906822465146947</v>
      </c>
      <c r="K54">
        <f t="shared" si="86"/>
        <v>0.55000000000000004</v>
      </c>
      <c r="L54">
        <f t="shared" si="61"/>
        <v>9</v>
      </c>
      <c r="M54">
        <v>2.5</v>
      </c>
      <c r="N54">
        <f t="shared" si="87"/>
        <v>325</v>
      </c>
      <c r="O54">
        <f t="shared" si="95"/>
        <v>203400</v>
      </c>
      <c r="P54">
        <f t="shared" si="96"/>
        <v>3520</v>
      </c>
      <c r="Q54">
        <f t="shared" si="97"/>
        <v>804.24771931898704</v>
      </c>
      <c r="R54">
        <f t="shared" si="88"/>
        <v>4324.247719318987</v>
      </c>
      <c r="S54">
        <f t="shared" si="89"/>
        <v>14118333.707433984</v>
      </c>
      <c r="T54">
        <f t="shared" si="90"/>
        <v>57.139500414724267</v>
      </c>
      <c r="U54">
        <f t="shared" si="91"/>
        <v>157.50925252543496</v>
      </c>
      <c r="W54">
        <f t="shared" si="92"/>
        <v>2.0041139176677971</v>
      </c>
      <c r="X54">
        <f t="shared" si="93"/>
        <v>1405.3805087786709</v>
      </c>
      <c r="Y54">
        <v>303.7</v>
      </c>
      <c r="Z54">
        <f t="shared" si="74"/>
        <v>0.21609805892635214</v>
      </c>
      <c r="AA54" t="str">
        <f t="shared" si="75"/>
        <v>LC-R53</v>
      </c>
      <c r="AB54">
        <f t="shared" si="76"/>
        <v>490</v>
      </c>
      <c r="AC54">
        <f t="shared" si="83"/>
        <v>517.02058150931066</v>
      </c>
      <c r="AD54">
        <f t="shared" si="77"/>
        <v>519.7880493042129</v>
      </c>
      <c r="AE54">
        <f t="shared" si="78"/>
        <v>325.88344850615891</v>
      </c>
      <c r="AF54">
        <f t="shared" si="79"/>
        <v>473.25094511267991</v>
      </c>
      <c r="AG54">
        <f t="shared" si="80"/>
        <v>1524.610993272428</v>
      </c>
      <c r="AH54">
        <f t="shared" si="81"/>
        <v>0.19919835377031994</v>
      </c>
    </row>
    <row r="55" spans="1:34" x14ac:dyDescent="0.25">
      <c r="A55">
        <v>54</v>
      </c>
      <c r="B55">
        <v>355</v>
      </c>
      <c r="C55">
        <v>205</v>
      </c>
      <c r="D55">
        <v>0.2</v>
      </c>
      <c r="E55">
        <v>10000</v>
      </c>
      <c r="F55">
        <v>110</v>
      </c>
      <c r="G55">
        <f t="shared" si="84"/>
        <v>150</v>
      </c>
      <c r="H55">
        <v>8</v>
      </c>
      <c r="I55">
        <f t="shared" si="85"/>
        <v>13.75</v>
      </c>
      <c r="J55">
        <f t="shared" si="94"/>
        <v>0.28906822465146947</v>
      </c>
      <c r="K55">
        <f t="shared" si="86"/>
        <v>0.55000000000000004</v>
      </c>
      <c r="L55">
        <f t="shared" si="61"/>
        <v>10</v>
      </c>
      <c r="M55">
        <v>2.5</v>
      </c>
      <c r="N55">
        <f t="shared" si="87"/>
        <v>325</v>
      </c>
      <c r="O55">
        <f t="shared" si="95"/>
        <v>203400</v>
      </c>
      <c r="P55">
        <f t="shared" si="96"/>
        <v>3520</v>
      </c>
      <c r="Q55">
        <f t="shared" si="97"/>
        <v>804.24771931898704</v>
      </c>
      <c r="R55">
        <f t="shared" si="88"/>
        <v>4324.247719318987</v>
      </c>
      <c r="S55">
        <f t="shared" si="89"/>
        <v>14118333.707433984</v>
      </c>
      <c r="T55">
        <f t="shared" si="90"/>
        <v>57.139500414724267</v>
      </c>
      <c r="U55">
        <f t="shared" si="91"/>
        <v>175.01028058381661</v>
      </c>
      <c r="W55">
        <f t="shared" si="92"/>
        <v>2.226793241853108</v>
      </c>
      <c r="X55">
        <f t="shared" si="93"/>
        <v>1405.3805087786709</v>
      </c>
      <c r="Y55">
        <v>246.6</v>
      </c>
      <c r="Z55">
        <f t="shared" si="74"/>
        <v>0.1754684930235049</v>
      </c>
      <c r="AA55" t="str">
        <f t="shared" si="75"/>
        <v>LC-R54</v>
      </c>
      <c r="AB55">
        <f t="shared" si="76"/>
        <v>490</v>
      </c>
      <c r="AC55">
        <f t="shared" si="83"/>
        <v>517.02058150931066</v>
      </c>
      <c r="AD55">
        <f t="shared" si="77"/>
        <v>519.7880493042129</v>
      </c>
      <c r="AE55">
        <f t="shared" si="78"/>
        <v>325.88344850615891</v>
      </c>
      <c r="AF55">
        <f t="shared" si="79"/>
        <v>473.25094511267991</v>
      </c>
      <c r="AG55">
        <f t="shared" si="80"/>
        <v>1524.610993272428</v>
      </c>
      <c r="AH55">
        <f t="shared" si="81"/>
        <v>0.16174617727942345</v>
      </c>
    </row>
    <row r="56" spans="1:34" x14ac:dyDescent="0.25">
      <c r="A56">
        <v>55</v>
      </c>
      <c r="B56">
        <v>355</v>
      </c>
      <c r="C56">
        <v>205</v>
      </c>
      <c r="D56">
        <v>0.2</v>
      </c>
      <c r="E56">
        <v>12000</v>
      </c>
      <c r="F56">
        <v>110</v>
      </c>
      <c r="G56">
        <f t="shared" si="84"/>
        <v>150</v>
      </c>
      <c r="H56">
        <v>8</v>
      </c>
      <c r="I56">
        <f t="shared" si="85"/>
        <v>13.75</v>
      </c>
      <c r="J56">
        <f t="shared" si="94"/>
        <v>0.28906822465146947</v>
      </c>
      <c r="K56">
        <f t="shared" si="86"/>
        <v>0.55000000000000004</v>
      </c>
      <c r="L56">
        <f t="shared" si="61"/>
        <v>12</v>
      </c>
      <c r="M56">
        <v>2.5</v>
      </c>
      <c r="N56">
        <f t="shared" si="87"/>
        <v>325</v>
      </c>
      <c r="O56">
        <f t="shared" si="95"/>
        <v>203400</v>
      </c>
      <c r="P56">
        <f t="shared" si="96"/>
        <v>3520</v>
      </c>
      <c r="Q56">
        <f t="shared" si="97"/>
        <v>804.24771931898704</v>
      </c>
      <c r="R56">
        <f t="shared" si="88"/>
        <v>4324.247719318987</v>
      </c>
      <c r="S56">
        <f t="shared" si="89"/>
        <v>14118333.707433984</v>
      </c>
      <c r="T56">
        <f t="shared" si="90"/>
        <v>57.139500414724267</v>
      </c>
      <c r="U56">
        <f t="shared" si="91"/>
        <v>210.01233670057994</v>
      </c>
      <c r="W56">
        <f t="shared" si="92"/>
        <v>2.6721518902237298</v>
      </c>
      <c r="X56">
        <f t="shared" si="93"/>
        <v>1405.3805087786709</v>
      </c>
      <c r="Y56">
        <v>172.1</v>
      </c>
      <c r="Z56">
        <f t="shared" si="74"/>
        <v>0.12245793856182155</v>
      </c>
      <c r="AA56" t="str">
        <f t="shared" si="75"/>
        <v>LC-R55</v>
      </c>
      <c r="AB56">
        <f t="shared" si="76"/>
        <v>490</v>
      </c>
      <c r="AC56">
        <f t="shared" si="83"/>
        <v>517.02058150931066</v>
      </c>
      <c r="AD56">
        <f t="shared" si="77"/>
        <v>519.7880493042129</v>
      </c>
      <c r="AE56">
        <f t="shared" si="78"/>
        <v>325.88344850615891</v>
      </c>
      <c r="AF56">
        <f t="shared" si="79"/>
        <v>473.25094511267991</v>
      </c>
      <c r="AG56">
        <f t="shared" si="80"/>
        <v>1524.610993272428</v>
      </c>
      <c r="AH56">
        <f t="shared" si="81"/>
        <v>0.11288125348657248</v>
      </c>
    </row>
    <row r="57" spans="1:34" x14ac:dyDescent="0.25">
      <c r="A57">
        <v>56</v>
      </c>
      <c r="B57">
        <v>355</v>
      </c>
      <c r="C57">
        <v>205</v>
      </c>
      <c r="D57">
        <v>0.8</v>
      </c>
      <c r="E57">
        <v>1000</v>
      </c>
      <c r="F57">
        <v>110</v>
      </c>
      <c r="G57">
        <f>F57+2*H57*M57</f>
        <v>150</v>
      </c>
      <c r="H57">
        <v>8</v>
      </c>
      <c r="I57">
        <f t="shared" si="85"/>
        <v>13.75</v>
      </c>
      <c r="J57">
        <f>SQRT(12*(1-0.3^2)*I57^2*N57/(4*PI()^2*O57))</f>
        <v>0.25065920326367425</v>
      </c>
      <c r="K57">
        <f>H57*I57/200</f>
        <v>0.55000000000000004</v>
      </c>
      <c r="L57">
        <f t="shared" si="61"/>
        <v>1</v>
      </c>
      <c r="M57">
        <v>2.5</v>
      </c>
      <c r="N57">
        <f>D57*C57+(1-D57)*B57</f>
        <v>235</v>
      </c>
      <c r="O57">
        <f>193000*D57+(1-D57)*206000</f>
        <v>195600</v>
      </c>
      <c r="P57">
        <f>H57*I57*H57*4</f>
        <v>3520</v>
      </c>
      <c r="Q57">
        <f>PI()*(M57*H57)^2-PI()*((M57-1)*H57)^2</f>
        <v>804.24771931898704</v>
      </c>
      <c r="R57">
        <f>P57+Q57</f>
        <v>4324.247719318987</v>
      </c>
      <c r="S57">
        <f t="shared" si="89"/>
        <v>14118333.707433984</v>
      </c>
      <c r="T57">
        <f>SQRT(S57/R57)</f>
        <v>57.139500414724267</v>
      </c>
      <c r="U57">
        <f>E57/T57</f>
        <v>17.50102805838166</v>
      </c>
      <c r="W57">
        <f>U57/PI()*SQRT(N57/O57)</f>
        <v>0.19309151689322382</v>
      </c>
      <c r="X57">
        <f>R57*N57/1000</f>
        <v>1016.198214039962</v>
      </c>
      <c r="Y57">
        <v>1135.7</v>
      </c>
      <c r="Z57">
        <f t="shared" si="74"/>
        <v>1.1175969257857195</v>
      </c>
      <c r="AA57" t="str">
        <f t="shared" si="75"/>
        <v>LC-R56</v>
      </c>
      <c r="AB57">
        <f t="shared" si="76"/>
        <v>490</v>
      </c>
      <c r="AC57">
        <f t="shared" si="83"/>
        <v>517.02058150931066</v>
      </c>
      <c r="AD57">
        <f t="shared" si="77"/>
        <v>519.7880493042129</v>
      </c>
      <c r="AE57">
        <f t="shared" si="78"/>
        <v>325.88344850615891</v>
      </c>
      <c r="AF57">
        <f t="shared" si="79"/>
        <v>356.90818463384755</v>
      </c>
      <c r="AG57">
        <f t="shared" si="80"/>
        <v>1114.242593498052</v>
      </c>
      <c r="AH57">
        <f t="shared" si="81"/>
        <v>1.0192573920860311</v>
      </c>
    </row>
    <row r="58" spans="1:34" x14ac:dyDescent="0.25">
      <c r="A58">
        <v>57</v>
      </c>
      <c r="B58">
        <v>355</v>
      </c>
      <c r="C58">
        <v>205</v>
      </c>
      <c r="D58">
        <v>0.8</v>
      </c>
      <c r="E58">
        <v>2000</v>
      </c>
      <c r="F58">
        <v>110</v>
      </c>
      <c r="G58">
        <f t="shared" ref="G58:G67" si="98">F58+2*H58*M58</f>
        <v>150</v>
      </c>
      <c r="H58">
        <v>8</v>
      </c>
      <c r="I58">
        <f t="shared" si="85"/>
        <v>13.75</v>
      </c>
      <c r="J58">
        <f>SQRT(12*(1-0.3^2)*I58^2*N58/(4*PI()^2*O58))</f>
        <v>0.25065920326367425</v>
      </c>
      <c r="K58">
        <f t="shared" ref="K58:K67" si="99">H58*I58/200</f>
        <v>0.55000000000000004</v>
      </c>
      <c r="L58">
        <f t="shared" si="61"/>
        <v>2</v>
      </c>
      <c r="M58">
        <v>2.5</v>
      </c>
      <c r="N58">
        <f t="shared" ref="N58:N67" si="100">D58*C58+(1-D58)*B58</f>
        <v>235</v>
      </c>
      <c r="O58">
        <f>193000*D58+(1-D58)*206000</f>
        <v>195600</v>
      </c>
      <c r="P58">
        <f>H58*I58*H58*4</f>
        <v>3520</v>
      </c>
      <c r="Q58">
        <f>PI()*(M58*H58)^2-PI()*((M58-1)*H58)^2</f>
        <v>804.24771931898704</v>
      </c>
      <c r="R58">
        <f t="shared" ref="R58:R67" si="101">P58+Q58</f>
        <v>4324.247719318987</v>
      </c>
      <c r="S58">
        <f t="shared" si="89"/>
        <v>14118333.707433984</v>
      </c>
      <c r="T58">
        <f t="shared" ref="T58:T67" si="102">SQRT(S58/R58)</f>
        <v>57.139500414724267</v>
      </c>
      <c r="U58">
        <f t="shared" ref="U58:U67" si="103">E58/T58</f>
        <v>35.00205611676332</v>
      </c>
      <c r="W58">
        <f t="shared" ref="W58:W67" si="104">U58/PI()*SQRT(N58/O58)</f>
        <v>0.38618303378644764</v>
      </c>
      <c r="X58">
        <f t="shared" ref="X58:X67" si="105">R58*N58/1000</f>
        <v>1016.198214039962</v>
      </c>
      <c r="Y58">
        <v>1058.5999999999999</v>
      </c>
      <c r="Z58">
        <f t="shared" si="74"/>
        <v>1.0417259008864688</v>
      </c>
      <c r="AA58" t="str">
        <f t="shared" si="75"/>
        <v>LC-R57</v>
      </c>
      <c r="AB58">
        <f t="shared" si="76"/>
        <v>490</v>
      </c>
      <c r="AC58">
        <f t="shared" si="83"/>
        <v>517.02058150931066</v>
      </c>
      <c r="AD58">
        <f t="shared" si="77"/>
        <v>519.7880493042129</v>
      </c>
      <c r="AE58">
        <f t="shared" si="78"/>
        <v>325.88344850615891</v>
      </c>
      <c r="AF58">
        <f t="shared" si="79"/>
        <v>356.90818463384755</v>
      </c>
      <c r="AG58">
        <f t="shared" si="80"/>
        <v>1114.242593498052</v>
      </c>
      <c r="AH58">
        <f t="shared" si="81"/>
        <v>0.9500624066762986</v>
      </c>
    </row>
    <row r="59" spans="1:34" x14ac:dyDescent="0.25">
      <c r="A59">
        <v>58</v>
      </c>
      <c r="B59">
        <v>355</v>
      </c>
      <c r="C59">
        <v>205</v>
      </c>
      <c r="D59">
        <v>0.8</v>
      </c>
      <c r="E59">
        <v>3000</v>
      </c>
      <c r="F59">
        <v>110</v>
      </c>
      <c r="G59">
        <f t="shared" si="98"/>
        <v>150</v>
      </c>
      <c r="H59">
        <v>8</v>
      </c>
      <c r="I59">
        <f t="shared" si="85"/>
        <v>13.75</v>
      </c>
      <c r="J59">
        <f>SQRT(12*(1-0.3^2)*I59^2*N59/(4*PI()^2*O59))</f>
        <v>0.25065920326367425</v>
      </c>
      <c r="K59">
        <f t="shared" si="99"/>
        <v>0.55000000000000004</v>
      </c>
      <c r="L59">
        <f t="shared" si="61"/>
        <v>3</v>
      </c>
      <c r="M59">
        <v>2.5</v>
      </c>
      <c r="N59">
        <f t="shared" si="100"/>
        <v>235</v>
      </c>
      <c r="O59">
        <f>193000*D59+(1-D59)*206000</f>
        <v>195600</v>
      </c>
      <c r="P59">
        <f>H59*I59*H59*4</f>
        <v>3520</v>
      </c>
      <c r="Q59">
        <f>PI()*(M59*H59)^2-PI()*((M59-1)*H59)^2</f>
        <v>804.24771931898704</v>
      </c>
      <c r="R59">
        <f t="shared" si="101"/>
        <v>4324.247719318987</v>
      </c>
      <c r="S59">
        <f t="shared" si="89"/>
        <v>14118333.707433984</v>
      </c>
      <c r="T59">
        <f t="shared" si="102"/>
        <v>57.139500414724267</v>
      </c>
      <c r="U59">
        <f t="shared" si="103"/>
        <v>52.503084175144984</v>
      </c>
      <c r="W59">
        <f t="shared" si="104"/>
        <v>0.5792745506796716</v>
      </c>
      <c r="X59">
        <f t="shared" si="105"/>
        <v>1016.198214039962</v>
      </c>
      <c r="Y59">
        <v>946.6</v>
      </c>
      <c r="Z59">
        <f t="shared" si="74"/>
        <v>0.93151118248548215</v>
      </c>
      <c r="AA59" t="str">
        <f t="shared" si="75"/>
        <v>LC-R58</v>
      </c>
      <c r="AB59">
        <f t="shared" si="76"/>
        <v>490</v>
      </c>
      <c r="AC59">
        <f t="shared" si="83"/>
        <v>517.02058150931066</v>
      </c>
      <c r="AD59">
        <f t="shared" si="77"/>
        <v>519.7880493042129</v>
      </c>
      <c r="AE59">
        <f t="shared" si="78"/>
        <v>325.88344850615891</v>
      </c>
      <c r="AF59">
        <f t="shared" si="79"/>
        <v>356.90818463384755</v>
      </c>
      <c r="AG59">
        <f t="shared" si="80"/>
        <v>1114.242593498052</v>
      </c>
      <c r="AH59">
        <f t="shared" si="81"/>
        <v>0.84954569635347099</v>
      </c>
    </row>
    <row r="60" spans="1:34" x14ac:dyDescent="0.25">
      <c r="A60">
        <v>59</v>
      </c>
      <c r="B60">
        <v>355</v>
      </c>
      <c r="C60">
        <v>205</v>
      </c>
      <c r="D60">
        <v>0.8</v>
      </c>
      <c r="E60">
        <v>4000</v>
      </c>
      <c r="F60">
        <v>110</v>
      </c>
      <c r="G60">
        <f t="shared" si="98"/>
        <v>150</v>
      </c>
      <c r="H60">
        <v>8</v>
      </c>
      <c r="I60">
        <f t="shared" si="85"/>
        <v>13.75</v>
      </c>
      <c r="J60">
        <f t="shared" ref="J60:J67" si="106">SQRT(12*(1-0.3^2)*I60^2*N60/(4*PI()^2*O60))</f>
        <v>0.25065920326367425</v>
      </c>
      <c r="K60">
        <f t="shared" si="99"/>
        <v>0.55000000000000004</v>
      </c>
      <c r="L60">
        <f t="shared" si="61"/>
        <v>4</v>
      </c>
      <c r="M60">
        <v>2.5</v>
      </c>
      <c r="N60">
        <f t="shared" si="100"/>
        <v>235</v>
      </c>
      <c r="O60">
        <f t="shared" ref="O60:O67" si="107">193000*D60+(1-D60)*206000</f>
        <v>195600</v>
      </c>
      <c r="P60">
        <f t="shared" ref="P60:P67" si="108">H60*I60*H60*4</f>
        <v>3520</v>
      </c>
      <c r="Q60">
        <f t="shared" ref="Q60:Q67" si="109">PI()*(M60*H60)^2-PI()*((M60-1)*H60)^2</f>
        <v>804.24771931898704</v>
      </c>
      <c r="R60">
        <f t="shared" si="101"/>
        <v>4324.247719318987</v>
      </c>
      <c r="S60">
        <f t="shared" si="89"/>
        <v>14118333.707433984</v>
      </c>
      <c r="T60">
        <f t="shared" si="102"/>
        <v>57.139500414724267</v>
      </c>
      <c r="U60">
        <f t="shared" si="103"/>
        <v>70.004112233526641</v>
      </c>
      <c r="W60">
        <f t="shared" si="104"/>
        <v>0.77236606757289528</v>
      </c>
      <c r="X60">
        <f t="shared" si="105"/>
        <v>1016.198214039962</v>
      </c>
      <c r="Y60">
        <v>817.7</v>
      </c>
      <c r="Z60">
        <f t="shared" si="74"/>
        <v>0.8046658503257752</v>
      </c>
      <c r="AA60" t="str">
        <f t="shared" si="75"/>
        <v>LC-R59</v>
      </c>
      <c r="AB60">
        <f t="shared" si="76"/>
        <v>490</v>
      </c>
      <c r="AC60">
        <f t="shared" si="83"/>
        <v>517.02058150931066</v>
      </c>
      <c r="AD60">
        <f t="shared" si="77"/>
        <v>519.7880493042129</v>
      </c>
      <c r="AE60">
        <f t="shared" si="78"/>
        <v>325.88344850615891</v>
      </c>
      <c r="AF60">
        <f t="shared" si="79"/>
        <v>356.90818463384755</v>
      </c>
      <c r="AG60">
        <f t="shared" si="80"/>
        <v>1114.242593498052</v>
      </c>
      <c r="AH60">
        <f t="shared" si="81"/>
        <v>0.73386173241943087</v>
      </c>
    </row>
    <row r="61" spans="1:34" x14ac:dyDescent="0.25">
      <c r="A61">
        <v>60</v>
      </c>
      <c r="B61">
        <v>355</v>
      </c>
      <c r="C61">
        <v>205</v>
      </c>
      <c r="D61">
        <v>0.8</v>
      </c>
      <c r="E61">
        <v>5000</v>
      </c>
      <c r="F61">
        <v>110</v>
      </c>
      <c r="G61">
        <f t="shared" si="98"/>
        <v>150</v>
      </c>
      <c r="H61">
        <v>8</v>
      </c>
      <c r="I61">
        <f t="shared" si="85"/>
        <v>13.75</v>
      </c>
      <c r="J61">
        <f t="shared" si="106"/>
        <v>0.25065920326367425</v>
      </c>
      <c r="K61">
        <f t="shared" si="99"/>
        <v>0.55000000000000004</v>
      </c>
      <c r="L61">
        <f t="shared" si="61"/>
        <v>5</v>
      </c>
      <c r="M61">
        <v>2.5</v>
      </c>
      <c r="N61">
        <f t="shared" si="100"/>
        <v>235</v>
      </c>
      <c r="O61">
        <f t="shared" si="107"/>
        <v>195600</v>
      </c>
      <c r="P61">
        <f t="shared" si="108"/>
        <v>3520</v>
      </c>
      <c r="Q61">
        <f t="shared" si="109"/>
        <v>804.24771931898704</v>
      </c>
      <c r="R61">
        <f t="shared" si="101"/>
        <v>4324.247719318987</v>
      </c>
      <c r="S61">
        <f t="shared" si="89"/>
        <v>14118333.707433984</v>
      </c>
      <c r="T61">
        <f t="shared" si="102"/>
        <v>57.139500414724267</v>
      </c>
      <c r="U61">
        <f t="shared" si="103"/>
        <v>87.505140291908305</v>
      </c>
      <c r="W61">
        <f t="shared" si="104"/>
        <v>0.96545758446611907</v>
      </c>
      <c r="X61">
        <f t="shared" si="105"/>
        <v>1016.198214039962</v>
      </c>
      <c r="Y61">
        <v>696.3</v>
      </c>
      <c r="Z61">
        <f t="shared" si="74"/>
        <v>0.68520096805899133</v>
      </c>
      <c r="AA61" t="str">
        <f t="shared" si="75"/>
        <v>LC-R60</v>
      </c>
      <c r="AB61">
        <f t="shared" si="76"/>
        <v>490</v>
      </c>
      <c r="AC61">
        <f t="shared" si="83"/>
        <v>517.02058150931066</v>
      </c>
      <c r="AD61">
        <f t="shared" si="77"/>
        <v>519.7880493042129</v>
      </c>
      <c r="AE61">
        <f t="shared" si="78"/>
        <v>325.88344850615891</v>
      </c>
      <c r="AF61">
        <f t="shared" si="79"/>
        <v>356.90818463384755</v>
      </c>
      <c r="AG61">
        <f t="shared" si="80"/>
        <v>1114.242593498052</v>
      </c>
      <c r="AH61">
        <f t="shared" si="81"/>
        <v>0.62490879819450851</v>
      </c>
    </row>
    <row r="62" spans="1:34" x14ac:dyDescent="0.25">
      <c r="A62">
        <v>61</v>
      </c>
      <c r="B62">
        <v>355</v>
      </c>
      <c r="C62">
        <v>205</v>
      </c>
      <c r="D62">
        <v>0.8</v>
      </c>
      <c r="E62">
        <v>6000</v>
      </c>
      <c r="F62">
        <v>110</v>
      </c>
      <c r="G62">
        <f t="shared" si="98"/>
        <v>150</v>
      </c>
      <c r="H62">
        <v>8</v>
      </c>
      <c r="I62">
        <f t="shared" si="85"/>
        <v>13.75</v>
      </c>
      <c r="J62">
        <f t="shared" si="106"/>
        <v>0.25065920326367425</v>
      </c>
      <c r="K62">
        <f t="shared" si="99"/>
        <v>0.55000000000000004</v>
      </c>
      <c r="L62">
        <f t="shared" si="61"/>
        <v>6</v>
      </c>
      <c r="M62">
        <v>2.5</v>
      </c>
      <c r="N62">
        <f t="shared" si="100"/>
        <v>235</v>
      </c>
      <c r="O62">
        <f t="shared" si="107"/>
        <v>195600</v>
      </c>
      <c r="P62">
        <f t="shared" si="108"/>
        <v>3520</v>
      </c>
      <c r="Q62">
        <f t="shared" si="109"/>
        <v>804.24771931898704</v>
      </c>
      <c r="R62">
        <f t="shared" si="101"/>
        <v>4324.247719318987</v>
      </c>
      <c r="S62">
        <f t="shared" si="89"/>
        <v>14118333.707433984</v>
      </c>
      <c r="T62">
        <f t="shared" si="102"/>
        <v>57.139500414724267</v>
      </c>
      <c r="U62">
        <f t="shared" si="103"/>
        <v>105.00616835028997</v>
      </c>
      <c r="W62">
        <f t="shared" si="104"/>
        <v>1.1585491013593432</v>
      </c>
      <c r="X62">
        <f t="shared" si="105"/>
        <v>1016.198214039962</v>
      </c>
      <c r="Y62">
        <v>565.1</v>
      </c>
      <c r="Z62">
        <f t="shared" si="74"/>
        <v>0.55609229793212123</v>
      </c>
      <c r="AA62" t="str">
        <f t="shared" si="75"/>
        <v>LC-R61</v>
      </c>
      <c r="AB62">
        <f t="shared" si="76"/>
        <v>490</v>
      </c>
      <c r="AC62">
        <f t="shared" si="83"/>
        <v>517.02058150931066</v>
      </c>
      <c r="AD62">
        <f t="shared" si="77"/>
        <v>519.7880493042129</v>
      </c>
      <c r="AE62">
        <f t="shared" si="78"/>
        <v>325.88344850615891</v>
      </c>
      <c r="AF62">
        <f t="shared" si="79"/>
        <v>356.90818463384755</v>
      </c>
      <c r="AG62">
        <f t="shared" si="80"/>
        <v>1114.242593498052</v>
      </c>
      <c r="AH62">
        <f t="shared" si="81"/>
        <v>0.50716065181633896</v>
      </c>
    </row>
    <row r="63" spans="1:34" x14ac:dyDescent="0.25">
      <c r="A63">
        <v>62</v>
      </c>
      <c r="B63">
        <v>355</v>
      </c>
      <c r="C63">
        <v>205</v>
      </c>
      <c r="D63">
        <v>0.8</v>
      </c>
      <c r="E63">
        <v>7000</v>
      </c>
      <c r="F63">
        <v>110</v>
      </c>
      <c r="G63">
        <f t="shared" si="98"/>
        <v>150</v>
      </c>
      <c r="H63">
        <v>8</v>
      </c>
      <c r="I63">
        <f t="shared" si="85"/>
        <v>13.75</v>
      </c>
      <c r="J63">
        <f t="shared" si="106"/>
        <v>0.25065920326367425</v>
      </c>
      <c r="K63">
        <f t="shared" si="99"/>
        <v>0.55000000000000004</v>
      </c>
      <c r="L63">
        <f t="shared" si="61"/>
        <v>7</v>
      </c>
      <c r="M63">
        <v>2.5</v>
      </c>
      <c r="N63">
        <f t="shared" si="100"/>
        <v>235</v>
      </c>
      <c r="O63">
        <f t="shared" si="107"/>
        <v>195600</v>
      </c>
      <c r="P63">
        <f t="shared" si="108"/>
        <v>3520</v>
      </c>
      <c r="Q63">
        <f t="shared" si="109"/>
        <v>804.24771931898704</v>
      </c>
      <c r="R63">
        <f t="shared" si="101"/>
        <v>4324.247719318987</v>
      </c>
      <c r="S63">
        <f t="shared" si="89"/>
        <v>14118333.707433984</v>
      </c>
      <c r="T63">
        <f t="shared" si="102"/>
        <v>57.139500414724267</v>
      </c>
      <c r="U63">
        <f t="shared" si="103"/>
        <v>122.50719640867163</v>
      </c>
      <c r="W63">
        <f t="shared" si="104"/>
        <v>1.3516406182525667</v>
      </c>
      <c r="X63">
        <f t="shared" si="105"/>
        <v>1016.198214039962</v>
      </c>
      <c r="Y63">
        <v>448.8</v>
      </c>
      <c r="Z63">
        <f t="shared" si="74"/>
        <v>0.4416461215925252</v>
      </c>
      <c r="AA63" t="str">
        <f t="shared" si="75"/>
        <v>LC-R62</v>
      </c>
      <c r="AB63">
        <f t="shared" si="76"/>
        <v>490</v>
      </c>
      <c r="AC63">
        <f t="shared" si="83"/>
        <v>517.02058150931066</v>
      </c>
      <c r="AD63">
        <f t="shared" si="77"/>
        <v>519.7880493042129</v>
      </c>
      <c r="AE63">
        <f t="shared" si="78"/>
        <v>325.88344850615891</v>
      </c>
      <c r="AF63">
        <f t="shared" si="79"/>
        <v>356.90818463384755</v>
      </c>
      <c r="AG63">
        <f t="shared" si="80"/>
        <v>1114.242593498052</v>
      </c>
      <c r="AH63">
        <f t="shared" si="81"/>
        <v>0.40278481779361691</v>
      </c>
    </row>
    <row r="64" spans="1:34" x14ac:dyDescent="0.25">
      <c r="A64">
        <v>63</v>
      </c>
      <c r="B64">
        <v>355</v>
      </c>
      <c r="C64">
        <v>205</v>
      </c>
      <c r="D64">
        <v>0.8</v>
      </c>
      <c r="E64">
        <v>8000</v>
      </c>
      <c r="F64">
        <v>110</v>
      </c>
      <c r="G64">
        <f t="shared" si="98"/>
        <v>150</v>
      </c>
      <c r="H64">
        <v>8</v>
      </c>
      <c r="I64">
        <f t="shared" si="85"/>
        <v>13.75</v>
      </c>
      <c r="J64">
        <f t="shared" si="106"/>
        <v>0.25065920326367425</v>
      </c>
      <c r="K64">
        <f t="shared" si="99"/>
        <v>0.55000000000000004</v>
      </c>
      <c r="L64">
        <f t="shared" si="61"/>
        <v>8</v>
      </c>
      <c r="M64">
        <v>2.5</v>
      </c>
      <c r="N64">
        <f t="shared" si="100"/>
        <v>235</v>
      </c>
      <c r="O64">
        <f t="shared" si="107"/>
        <v>195600</v>
      </c>
      <c r="P64">
        <f t="shared" si="108"/>
        <v>3520</v>
      </c>
      <c r="Q64">
        <f t="shared" si="109"/>
        <v>804.24771931898704</v>
      </c>
      <c r="R64">
        <f t="shared" si="101"/>
        <v>4324.247719318987</v>
      </c>
      <c r="S64">
        <f t="shared" si="89"/>
        <v>14118333.707433984</v>
      </c>
      <c r="T64">
        <f t="shared" si="102"/>
        <v>57.139500414724267</v>
      </c>
      <c r="U64">
        <f t="shared" si="103"/>
        <v>140.00822446705328</v>
      </c>
      <c r="W64">
        <f t="shared" si="104"/>
        <v>1.5447321351457906</v>
      </c>
      <c r="X64">
        <f t="shared" si="105"/>
        <v>1016.198214039962</v>
      </c>
      <c r="Y64">
        <v>355.6</v>
      </c>
      <c r="Z64">
        <f t="shared" si="74"/>
        <v>0.34993173092313273</v>
      </c>
      <c r="AA64" t="str">
        <f t="shared" si="75"/>
        <v>LC-R63</v>
      </c>
      <c r="AB64">
        <f t="shared" si="76"/>
        <v>490</v>
      </c>
      <c r="AC64">
        <f t="shared" si="83"/>
        <v>517.02058150931066</v>
      </c>
      <c r="AD64">
        <f t="shared" si="77"/>
        <v>519.7880493042129</v>
      </c>
      <c r="AE64">
        <f t="shared" si="78"/>
        <v>325.88344850615891</v>
      </c>
      <c r="AF64">
        <f t="shared" si="79"/>
        <v>356.90818463384755</v>
      </c>
      <c r="AG64">
        <f t="shared" si="80"/>
        <v>1114.242593498052</v>
      </c>
      <c r="AH64">
        <f t="shared" si="81"/>
        <v>0.31914055527497809</v>
      </c>
    </row>
    <row r="65" spans="1:34" x14ac:dyDescent="0.25">
      <c r="A65">
        <v>64</v>
      </c>
      <c r="B65">
        <v>355</v>
      </c>
      <c r="C65">
        <v>205</v>
      </c>
      <c r="D65">
        <v>0.8</v>
      </c>
      <c r="E65">
        <v>9000</v>
      </c>
      <c r="F65">
        <v>110</v>
      </c>
      <c r="G65">
        <f t="shared" si="98"/>
        <v>150</v>
      </c>
      <c r="H65">
        <v>8</v>
      </c>
      <c r="I65">
        <f t="shared" si="85"/>
        <v>13.75</v>
      </c>
      <c r="J65">
        <f t="shared" si="106"/>
        <v>0.25065920326367425</v>
      </c>
      <c r="K65">
        <f t="shared" si="99"/>
        <v>0.55000000000000004</v>
      </c>
      <c r="L65">
        <f t="shared" si="61"/>
        <v>9</v>
      </c>
      <c r="M65">
        <v>2.5</v>
      </c>
      <c r="N65">
        <f t="shared" si="100"/>
        <v>235</v>
      </c>
      <c r="O65">
        <f t="shared" si="107"/>
        <v>195600</v>
      </c>
      <c r="P65">
        <f t="shared" si="108"/>
        <v>3520</v>
      </c>
      <c r="Q65">
        <f t="shared" si="109"/>
        <v>804.24771931898704</v>
      </c>
      <c r="R65">
        <f t="shared" si="101"/>
        <v>4324.247719318987</v>
      </c>
      <c r="S65">
        <f t="shared" si="89"/>
        <v>14118333.707433984</v>
      </c>
      <c r="T65">
        <f t="shared" si="102"/>
        <v>57.139500414724267</v>
      </c>
      <c r="U65">
        <f t="shared" si="103"/>
        <v>157.50925252543496</v>
      </c>
      <c r="W65">
        <f t="shared" si="104"/>
        <v>1.7378236520390145</v>
      </c>
      <c r="X65">
        <f t="shared" si="105"/>
        <v>1016.198214039962</v>
      </c>
      <c r="Y65">
        <v>286</v>
      </c>
      <c r="Z65">
        <f t="shared" ref="Z65:Z67" si="110">Y65/X65</f>
        <v>0.2814411559168053</v>
      </c>
      <c r="AA65" t="str">
        <f t="shared" si="75"/>
        <v>LC-R64</v>
      </c>
      <c r="AB65">
        <f t="shared" si="76"/>
        <v>490</v>
      </c>
      <c r="AC65">
        <f t="shared" si="83"/>
        <v>517.02058150931066</v>
      </c>
      <c r="AD65">
        <f t="shared" si="77"/>
        <v>519.7880493042129</v>
      </c>
      <c r="AE65">
        <f t="shared" si="78"/>
        <v>325.88344850615891</v>
      </c>
      <c r="AF65">
        <f t="shared" ref="AF65:AF67" si="111">AD65*(1-((2*M65*H65-D65*H65)/(2*M65*H65-H65)*D65))+AE65*((2*M65*H65-D65*H65)/(2*M65*H65-H65)*D65)</f>
        <v>356.90818463384755</v>
      </c>
      <c r="AG65">
        <f t="shared" ref="AG65:AG67" si="112">(AF65*Q65+N65*P65)/1000</f>
        <v>1114.242593498052</v>
      </c>
      <c r="AH65">
        <f t="shared" ref="AH65:AH67" si="113">Y65/AG65</f>
        <v>0.25667659957436373</v>
      </c>
    </row>
    <row r="66" spans="1:34" x14ac:dyDescent="0.25">
      <c r="A66">
        <v>65</v>
      </c>
      <c r="B66">
        <v>355</v>
      </c>
      <c r="C66">
        <v>205</v>
      </c>
      <c r="D66">
        <v>0.8</v>
      </c>
      <c r="E66">
        <v>10000</v>
      </c>
      <c r="F66">
        <v>110</v>
      </c>
      <c r="G66">
        <f t="shared" si="98"/>
        <v>150</v>
      </c>
      <c r="H66">
        <v>8</v>
      </c>
      <c r="I66">
        <f t="shared" si="85"/>
        <v>13.75</v>
      </c>
      <c r="J66">
        <f t="shared" si="106"/>
        <v>0.25065920326367425</v>
      </c>
      <c r="K66">
        <f t="shared" si="99"/>
        <v>0.55000000000000004</v>
      </c>
      <c r="L66">
        <f t="shared" si="61"/>
        <v>10</v>
      </c>
      <c r="M66">
        <v>2.5</v>
      </c>
      <c r="N66">
        <f t="shared" si="100"/>
        <v>235</v>
      </c>
      <c r="O66">
        <f t="shared" si="107"/>
        <v>195600</v>
      </c>
      <c r="P66">
        <f t="shared" si="108"/>
        <v>3520</v>
      </c>
      <c r="Q66">
        <f t="shared" si="109"/>
        <v>804.24771931898704</v>
      </c>
      <c r="R66">
        <f t="shared" si="101"/>
        <v>4324.247719318987</v>
      </c>
      <c r="S66">
        <f t="shared" si="89"/>
        <v>14118333.707433984</v>
      </c>
      <c r="T66">
        <f t="shared" si="102"/>
        <v>57.139500414724267</v>
      </c>
      <c r="U66">
        <f t="shared" si="103"/>
        <v>175.01028058381661</v>
      </c>
      <c r="W66">
        <f t="shared" si="104"/>
        <v>1.9309151689322381</v>
      </c>
      <c r="X66">
        <f t="shared" si="105"/>
        <v>1016.198214039962</v>
      </c>
      <c r="Y66">
        <v>234</v>
      </c>
      <c r="Z66">
        <f t="shared" si="110"/>
        <v>0.23027003665920431</v>
      </c>
      <c r="AA66" t="str">
        <f t="shared" si="75"/>
        <v>LC-R65</v>
      </c>
      <c r="AB66">
        <f t="shared" si="76"/>
        <v>490</v>
      </c>
      <c r="AC66">
        <f t="shared" si="83"/>
        <v>517.02058150931066</v>
      </c>
      <c r="AD66">
        <f t="shared" si="77"/>
        <v>519.7880493042129</v>
      </c>
      <c r="AE66">
        <f t="shared" si="78"/>
        <v>325.88344850615891</v>
      </c>
      <c r="AF66">
        <f t="shared" si="111"/>
        <v>356.90818463384755</v>
      </c>
      <c r="AG66">
        <f t="shared" si="112"/>
        <v>1114.242593498052</v>
      </c>
      <c r="AH66">
        <f t="shared" si="113"/>
        <v>0.2100081269244794</v>
      </c>
    </row>
    <row r="67" spans="1:34" x14ac:dyDescent="0.25">
      <c r="A67">
        <v>66</v>
      </c>
      <c r="B67">
        <v>355</v>
      </c>
      <c r="C67">
        <v>205</v>
      </c>
      <c r="D67">
        <v>0.8</v>
      </c>
      <c r="E67">
        <v>12000</v>
      </c>
      <c r="F67">
        <v>110</v>
      </c>
      <c r="G67">
        <f t="shared" si="98"/>
        <v>150</v>
      </c>
      <c r="H67">
        <v>8</v>
      </c>
      <c r="I67">
        <f t="shared" si="85"/>
        <v>13.75</v>
      </c>
      <c r="J67">
        <f t="shared" si="106"/>
        <v>0.25065920326367425</v>
      </c>
      <c r="K67">
        <f t="shared" si="99"/>
        <v>0.55000000000000004</v>
      </c>
      <c r="L67">
        <f t="shared" si="61"/>
        <v>12</v>
      </c>
      <c r="M67">
        <v>2.5</v>
      </c>
      <c r="N67">
        <f t="shared" si="100"/>
        <v>235</v>
      </c>
      <c r="O67">
        <f t="shared" si="107"/>
        <v>195600</v>
      </c>
      <c r="P67">
        <f t="shared" si="108"/>
        <v>3520</v>
      </c>
      <c r="Q67">
        <f t="shared" si="109"/>
        <v>804.24771931898704</v>
      </c>
      <c r="R67">
        <f t="shared" si="101"/>
        <v>4324.247719318987</v>
      </c>
      <c r="S67">
        <f t="shared" si="89"/>
        <v>14118333.707433984</v>
      </c>
      <c r="T67">
        <f t="shared" si="102"/>
        <v>57.139500414724267</v>
      </c>
      <c r="U67">
        <f t="shared" si="103"/>
        <v>210.01233670057994</v>
      </c>
      <c r="W67">
        <f t="shared" si="104"/>
        <v>2.3170982027186864</v>
      </c>
      <c r="X67">
        <f t="shared" si="105"/>
        <v>1016.198214039962</v>
      </c>
      <c r="Y67">
        <v>164.3</v>
      </c>
      <c r="Z67">
        <f t="shared" si="110"/>
        <v>0.16168105565430457</v>
      </c>
      <c r="AA67" t="str">
        <f t="shared" si="75"/>
        <v>LC-R66</v>
      </c>
      <c r="AB67">
        <f t="shared" si="76"/>
        <v>490</v>
      </c>
      <c r="AC67">
        <f t="shared" ref="AC67" si="114">C67/(0.2+185*C67/193000)</f>
        <v>517.02058150931066</v>
      </c>
      <c r="AD67">
        <f t="shared" si="77"/>
        <v>519.7880493042129</v>
      </c>
      <c r="AE67">
        <f t="shared" si="78"/>
        <v>325.88344850615891</v>
      </c>
      <c r="AF67">
        <f t="shared" si="111"/>
        <v>356.90818463384755</v>
      </c>
      <c r="AG67">
        <f t="shared" si="112"/>
        <v>1114.242593498052</v>
      </c>
      <c r="AH67">
        <f t="shared" si="113"/>
        <v>0.14745442416107679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B311C-B37C-40FC-9A4B-9BB337814C76}">
  <dimension ref="A1:AH34"/>
  <sheetViews>
    <sheetView zoomScale="55" zoomScaleNormal="55" workbookViewId="0">
      <selection activeCell="Q38" sqref="Q38"/>
    </sheetView>
  </sheetViews>
  <sheetFormatPr defaultRowHeight="13.8" x14ac:dyDescent="0.25"/>
  <cols>
    <col min="2" max="2" width="11.44140625" customWidth="1"/>
  </cols>
  <sheetData>
    <row r="1" spans="1:34" x14ac:dyDescent="0.25">
      <c r="A1" t="s">
        <v>0</v>
      </c>
      <c r="B1" t="s">
        <v>33</v>
      </c>
      <c r="C1" s="1" t="s">
        <v>1</v>
      </c>
      <c r="D1" s="1" t="s">
        <v>2</v>
      </c>
      <c r="E1" s="1" t="s">
        <v>3</v>
      </c>
      <c r="F1" s="1" t="s">
        <v>30</v>
      </c>
      <c r="G1" s="1" t="s">
        <v>31</v>
      </c>
      <c r="H1" t="s">
        <v>4</v>
      </c>
      <c r="I1" s="4" t="s">
        <v>5</v>
      </c>
      <c r="J1" s="4" t="s">
        <v>6</v>
      </c>
      <c r="K1" s="6" t="s">
        <v>26</v>
      </c>
      <c r="L1" s="1" t="s">
        <v>25</v>
      </c>
      <c r="M1" s="1" t="s">
        <v>24</v>
      </c>
      <c r="N1" s="1" t="s">
        <v>22</v>
      </c>
      <c r="O1" t="s">
        <v>7</v>
      </c>
      <c r="P1" t="s">
        <v>8</v>
      </c>
      <c r="Q1" t="s">
        <v>9</v>
      </c>
      <c r="R1" t="s">
        <v>10</v>
      </c>
      <c r="S1" t="s">
        <v>11</v>
      </c>
      <c r="T1" t="s">
        <v>28</v>
      </c>
      <c r="U1" t="s">
        <v>23</v>
      </c>
      <c r="V1" t="s">
        <v>29</v>
      </c>
      <c r="W1" s="5" t="s">
        <v>27</v>
      </c>
      <c r="X1" s="2" t="s">
        <v>12</v>
      </c>
      <c r="Y1" s="2" t="s">
        <v>13</v>
      </c>
      <c r="Z1" s="3" t="s">
        <v>14</v>
      </c>
      <c r="AA1" s="3" t="s">
        <v>32</v>
      </c>
      <c r="AB1" t="s">
        <v>15</v>
      </c>
      <c r="AC1" t="s">
        <v>16</v>
      </c>
      <c r="AD1" t="s">
        <v>17</v>
      </c>
      <c r="AE1" t="s">
        <v>18</v>
      </c>
      <c r="AF1" t="s">
        <v>19</v>
      </c>
      <c r="AG1" s="2" t="s">
        <v>20</v>
      </c>
      <c r="AH1" s="3" t="s">
        <v>21</v>
      </c>
    </row>
    <row r="2" spans="1:34" x14ac:dyDescent="0.25">
      <c r="A2">
        <v>1</v>
      </c>
      <c r="B2" t="str">
        <f t="shared" ref="B2:B23" si="0">"Q"&amp;C2&amp;"+"&amp;"S"&amp;D2</f>
        <v>Q235+S170</v>
      </c>
      <c r="C2">
        <v>235</v>
      </c>
      <c r="D2">
        <v>170</v>
      </c>
      <c r="E2">
        <v>0.2</v>
      </c>
      <c r="F2">
        <v>1000</v>
      </c>
      <c r="G2">
        <v>110</v>
      </c>
      <c r="H2">
        <f t="shared" ref="H2:H12" si="1">G2+2*I2*N2</f>
        <v>150</v>
      </c>
      <c r="I2">
        <v>8</v>
      </c>
      <c r="J2">
        <f>G2/I2</f>
        <v>13.75</v>
      </c>
      <c r="K2">
        <f t="shared" ref="K2:K12" si="2">SQRT(12*(1-0.3^2)*J2^2*O2/(4*PI()^2*P2))</f>
        <v>0.23891045859001608</v>
      </c>
      <c r="L2">
        <f t="shared" ref="L2:L12" si="3">I2*J2/200</f>
        <v>0.55000000000000004</v>
      </c>
      <c r="M2">
        <f t="shared" ref="M2:M12" si="4">F2/1000</f>
        <v>1</v>
      </c>
      <c r="N2">
        <v>2.5</v>
      </c>
      <c r="O2">
        <f t="shared" ref="O2:O12" si="5">E2*D2+(1-E2)*C2</f>
        <v>222</v>
      </c>
      <c r="P2">
        <f t="shared" ref="P2:P12" si="6">193000*E2+(1-E2)*206000</f>
        <v>203400</v>
      </c>
      <c r="Q2">
        <f t="shared" ref="Q2:Q12" si="7">I2*J2*I2*4</f>
        <v>3520</v>
      </c>
      <c r="R2">
        <f t="shared" ref="R2:R12" si="8">PI()*(N2*I2)^2-PI()*((N2-1)*I2)^2</f>
        <v>804.24771931898704</v>
      </c>
      <c r="S2">
        <f t="shared" ref="S2:S12" si="9">Q2+R2</f>
        <v>4324.247719318987</v>
      </c>
      <c r="T2">
        <f>1/12*I2*(I2*J2)^3*2+(1/12*(I2*J2)*I2^3+(I2*J2)*I2*(H2/2-I2/2)^2)*2+PI()/8*((N2*I2)^4-((N2-1)*I2)^4)*2+1/2*PI()*((N2*I2)^2-((N2-1)*I2)^2)*(-1*((4*((N2*I2)^3-((N2-1)*I2)^3))/(3*PI()*((N2*I2)^2-((N2-1)*I2)^2)))^2+1*((4*((N2*I2)^3-((N2-1)*I2)^3))/(3*PI()*((N2*I2)^2-((N2-1)*I2)^2))+I2*J2/2)^2)*2</f>
        <v>14118333.707433984</v>
      </c>
      <c r="U2">
        <f t="shared" ref="U2:U12" si="10">SQRT(T2/S2)</f>
        <v>57.139500414724267</v>
      </c>
      <c r="V2">
        <f t="shared" ref="V2:V12" si="11">F2/U2</f>
        <v>17.50102805838166</v>
      </c>
      <c r="W2">
        <f t="shared" ref="W2:W12" si="12">V2/PI()*SQRT(O2/P2)</f>
        <v>0.18404104956112485</v>
      </c>
      <c r="X2">
        <f t="shared" ref="X2:X12" si="13">S2*O2/1000</f>
        <v>959.98299368881521</v>
      </c>
      <c r="Y2">
        <v>1045.4000000000001</v>
      </c>
      <c r="Z2">
        <f t="shared" ref="Z2:Z12" si="14">Y2/X2</f>
        <v>1.0889776244712033</v>
      </c>
      <c r="AA2" t="str">
        <f t="shared" ref="AA2:AA12" si="15">"LC-M"&amp;A2</f>
        <v>LC-M1</v>
      </c>
      <c r="AB2">
        <f>IF(C2=235,360,IF(C2=355,490,560))</f>
        <v>360</v>
      </c>
      <c r="AC2">
        <f>D2/(0.2+185*D2/193000)</f>
        <v>468.37972876516773</v>
      </c>
      <c r="AD2">
        <f>C2*(2.769*(AB2/C2)-0.581*(AB2/C2)^2-1.182)/((N2-1)^(0.314*(AB2/C2)-0.32))</f>
        <v>373.45856872555174</v>
      </c>
      <c r="AE2">
        <f>1.673*D2/(N2-1)^0.126</f>
        <v>270.24481095632694</v>
      </c>
      <c r="AF2">
        <f>AD2*(1-((2*N2*I2-E2*I2)/(2*N2*I2-I2)*E2))+AE2*((2*N2*I2-E2*I2)/(2*N2*I2-I2)*E2)</f>
        <v>348.68726686093777</v>
      </c>
      <c r="AG2">
        <f>(AF2*R2+O2*Q2)/1000</f>
        <v>1061.8709391284801</v>
      </c>
      <c r="AH2">
        <f t="shared" ref="AH2:AH23" si="16">Y2/AG2</f>
        <v>0.98448875609874176</v>
      </c>
    </row>
    <row r="3" spans="1:34" x14ac:dyDescent="0.25">
      <c r="A3">
        <v>2</v>
      </c>
      <c r="B3" t="str">
        <f t="shared" si="0"/>
        <v>Q235+S170</v>
      </c>
      <c r="C3">
        <v>235</v>
      </c>
      <c r="D3">
        <v>170</v>
      </c>
      <c r="E3">
        <v>0.2</v>
      </c>
      <c r="F3">
        <v>2000</v>
      </c>
      <c r="G3">
        <v>110</v>
      </c>
      <c r="H3">
        <f t="shared" si="1"/>
        <v>150</v>
      </c>
      <c r="I3">
        <v>8</v>
      </c>
      <c r="J3">
        <f t="shared" ref="J3:J23" si="17">G3/I3</f>
        <v>13.75</v>
      </c>
      <c r="K3">
        <f t="shared" si="2"/>
        <v>0.23891045859001608</v>
      </c>
      <c r="L3">
        <f t="shared" si="3"/>
        <v>0.55000000000000004</v>
      </c>
      <c r="M3">
        <f t="shared" si="4"/>
        <v>2</v>
      </c>
      <c r="N3">
        <v>2.5</v>
      </c>
      <c r="O3">
        <f t="shared" si="5"/>
        <v>222</v>
      </c>
      <c r="P3">
        <f t="shared" si="6"/>
        <v>203400</v>
      </c>
      <c r="Q3">
        <f t="shared" si="7"/>
        <v>3520</v>
      </c>
      <c r="R3">
        <f t="shared" si="8"/>
        <v>804.24771931898704</v>
      </c>
      <c r="S3">
        <f t="shared" si="9"/>
        <v>4324.247719318987</v>
      </c>
      <c r="T3">
        <f t="shared" ref="T3:T23" si="18">1/12*I3*(I3*J3)^3*2+(1/12*(I3*J3)*I3^3+(I3*J3)*I3*(H3/2-I3/2)^2)*2+PI()/8*((N3*I3)^4-((N3-1)*I3)^4)*2+1/2*PI()*((N3*I3)^2-((N3-1)*I3)^2)*(-1*((4*((N3*I3)^3-((N3-1)*I3)^3))/(3*PI()*((N3*I3)^2-((N3-1)*I3)^2)))^2+1*((4*((N3*I3)^3-((N3-1)*I3)^3))/(3*PI()*((N3*I3)^2-((N3-1)*I3)^2))+I3*J3/2)^2)*2</f>
        <v>14118333.707433984</v>
      </c>
      <c r="U3">
        <f t="shared" si="10"/>
        <v>57.139500414724267</v>
      </c>
      <c r="V3">
        <f t="shared" si="11"/>
        <v>35.00205611676332</v>
      </c>
      <c r="W3">
        <f t="shared" si="12"/>
        <v>0.36808209912224971</v>
      </c>
      <c r="X3">
        <f t="shared" si="13"/>
        <v>959.98299368881521</v>
      </c>
      <c r="Y3">
        <v>928.4</v>
      </c>
      <c r="Z3">
        <f t="shared" si="14"/>
        <v>0.96710046542860628</v>
      </c>
      <c r="AA3" t="str">
        <f t="shared" si="15"/>
        <v>LC-M2</v>
      </c>
      <c r="AB3">
        <f t="shared" ref="AB3:AB23" si="19">IF(C3=235,360,IF(C3=355,490,560))</f>
        <v>360</v>
      </c>
      <c r="AC3">
        <f>D3/(0.2+185*D3/193000)</f>
        <v>468.37972876516773</v>
      </c>
      <c r="AD3">
        <f t="shared" ref="AD3:AD23" si="20">C3*(2.769*(AB3/C3)-0.581*(AB3/C3)^2-1.182)/((N3-1)^(0.314*(AB3/C3)-0.32))</f>
        <v>373.45856872555174</v>
      </c>
      <c r="AE3">
        <f t="shared" ref="AE3:AE23" si="21">1.673*D3/(N3-1)^0.126</f>
        <v>270.24481095632694</v>
      </c>
      <c r="AF3">
        <f t="shared" ref="AF3:AF23" si="22">AD3*(1-((2*N3*I3-E3*I3)/(2*N3*I3-I3)*E3))+AE3*((2*N3*I3-E3*I3)/(2*N3*I3-I3)*E3)</f>
        <v>348.68726686093777</v>
      </c>
      <c r="AG3">
        <f t="shared" ref="AG3:AG12" si="23">(AF3*R3+O3*Q3)/1000</f>
        <v>1061.8709391284801</v>
      </c>
      <c r="AH3">
        <f t="shared" si="16"/>
        <v>0.87430587446151875</v>
      </c>
    </row>
    <row r="4" spans="1:34" x14ac:dyDescent="0.25">
      <c r="A4">
        <v>3</v>
      </c>
      <c r="B4" t="str">
        <f t="shared" si="0"/>
        <v>Q235+S170</v>
      </c>
      <c r="C4">
        <v>235</v>
      </c>
      <c r="D4">
        <v>170</v>
      </c>
      <c r="E4">
        <v>0.2</v>
      </c>
      <c r="F4">
        <v>3000</v>
      </c>
      <c r="G4">
        <v>110</v>
      </c>
      <c r="H4">
        <f t="shared" si="1"/>
        <v>150</v>
      </c>
      <c r="I4">
        <v>8</v>
      </c>
      <c r="J4">
        <f t="shared" si="17"/>
        <v>13.75</v>
      </c>
      <c r="K4">
        <f t="shared" si="2"/>
        <v>0.23891045859001608</v>
      </c>
      <c r="L4">
        <f t="shared" si="3"/>
        <v>0.55000000000000004</v>
      </c>
      <c r="M4">
        <f t="shared" si="4"/>
        <v>3</v>
      </c>
      <c r="N4">
        <v>2.5</v>
      </c>
      <c r="O4">
        <f t="shared" si="5"/>
        <v>222</v>
      </c>
      <c r="P4">
        <f t="shared" si="6"/>
        <v>203400</v>
      </c>
      <c r="Q4">
        <f t="shared" si="7"/>
        <v>3520</v>
      </c>
      <c r="R4">
        <f t="shared" si="8"/>
        <v>804.24771931898704</v>
      </c>
      <c r="S4">
        <f t="shared" si="9"/>
        <v>4324.247719318987</v>
      </c>
      <c r="T4">
        <f t="shared" si="18"/>
        <v>14118333.707433984</v>
      </c>
      <c r="U4">
        <f t="shared" si="10"/>
        <v>57.139500414724267</v>
      </c>
      <c r="V4">
        <f t="shared" si="11"/>
        <v>52.503084175144984</v>
      </c>
      <c r="W4">
        <f t="shared" si="12"/>
        <v>0.55212314868337464</v>
      </c>
      <c r="X4">
        <f t="shared" si="13"/>
        <v>959.98299368881521</v>
      </c>
      <c r="Y4">
        <v>818.7</v>
      </c>
      <c r="Z4">
        <f t="shared" si="14"/>
        <v>0.85282760776217148</v>
      </c>
      <c r="AA4" t="str">
        <f t="shared" si="15"/>
        <v>LC-M3</v>
      </c>
      <c r="AB4">
        <f t="shared" si="19"/>
        <v>360</v>
      </c>
      <c r="AC4">
        <f>D4/(0.2+185*D4/193000)</f>
        <v>468.37972876516773</v>
      </c>
      <c r="AD4">
        <f t="shared" si="20"/>
        <v>373.45856872555174</v>
      </c>
      <c r="AE4">
        <f t="shared" si="21"/>
        <v>270.24481095632694</v>
      </c>
      <c r="AF4">
        <f t="shared" si="22"/>
        <v>348.68726686093777</v>
      </c>
      <c r="AG4">
        <f t="shared" si="23"/>
        <v>1061.8709391284801</v>
      </c>
      <c r="AH4">
        <f t="shared" si="16"/>
        <v>0.77099765125123376</v>
      </c>
    </row>
    <row r="5" spans="1:34" x14ac:dyDescent="0.25">
      <c r="A5">
        <v>4</v>
      </c>
      <c r="B5" t="str">
        <f t="shared" si="0"/>
        <v>Q235+S170</v>
      </c>
      <c r="C5">
        <v>235</v>
      </c>
      <c r="D5">
        <v>170</v>
      </c>
      <c r="E5">
        <v>0.2</v>
      </c>
      <c r="F5">
        <v>4000</v>
      </c>
      <c r="G5">
        <v>110</v>
      </c>
      <c r="H5">
        <f t="shared" si="1"/>
        <v>150</v>
      </c>
      <c r="I5">
        <v>8</v>
      </c>
      <c r="J5">
        <f t="shared" si="17"/>
        <v>13.75</v>
      </c>
      <c r="K5">
        <f t="shared" si="2"/>
        <v>0.23891045859001608</v>
      </c>
      <c r="L5">
        <f t="shared" si="3"/>
        <v>0.55000000000000004</v>
      </c>
      <c r="M5">
        <f t="shared" si="4"/>
        <v>4</v>
      </c>
      <c r="N5">
        <v>2.5</v>
      </c>
      <c r="O5">
        <f t="shared" si="5"/>
        <v>222</v>
      </c>
      <c r="P5">
        <f t="shared" si="6"/>
        <v>203400</v>
      </c>
      <c r="Q5">
        <f t="shared" si="7"/>
        <v>3520</v>
      </c>
      <c r="R5">
        <f t="shared" si="8"/>
        <v>804.24771931898704</v>
      </c>
      <c r="S5">
        <f t="shared" si="9"/>
        <v>4324.247719318987</v>
      </c>
      <c r="T5">
        <f t="shared" si="18"/>
        <v>14118333.707433984</v>
      </c>
      <c r="U5">
        <f t="shared" si="10"/>
        <v>57.139500414724267</v>
      </c>
      <c r="V5">
        <f t="shared" si="11"/>
        <v>70.004112233526641</v>
      </c>
      <c r="W5">
        <f t="shared" si="12"/>
        <v>0.73616419824449941</v>
      </c>
      <c r="X5">
        <f t="shared" si="13"/>
        <v>959.98299368881521</v>
      </c>
      <c r="Y5">
        <v>723</v>
      </c>
      <c r="Z5">
        <f t="shared" si="14"/>
        <v>0.75313834177604733</v>
      </c>
      <c r="AA5" t="str">
        <f t="shared" si="15"/>
        <v>LC-M4</v>
      </c>
      <c r="AB5">
        <f t="shared" si="19"/>
        <v>360</v>
      </c>
      <c r="AC5">
        <f t="shared" ref="AC5:AC12" si="24">D5/(0.2+185*D5/193000)</f>
        <v>468.37972876516773</v>
      </c>
      <c r="AD5">
        <f t="shared" si="20"/>
        <v>373.45856872555174</v>
      </c>
      <c r="AE5">
        <f t="shared" si="21"/>
        <v>270.24481095632694</v>
      </c>
      <c r="AF5">
        <f t="shared" si="22"/>
        <v>348.68726686093777</v>
      </c>
      <c r="AG5">
        <f t="shared" si="23"/>
        <v>1061.8709391284801</v>
      </c>
      <c r="AH5">
        <f t="shared" si="16"/>
        <v>0.68087370447617201</v>
      </c>
    </row>
    <row r="6" spans="1:34" x14ac:dyDescent="0.25">
      <c r="A6">
        <v>5</v>
      </c>
      <c r="B6" t="str">
        <f t="shared" si="0"/>
        <v>Q235+S170</v>
      </c>
      <c r="C6">
        <v>235</v>
      </c>
      <c r="D6">
        <v>170</v>
      </c>
      <c r="E6">
        <v>0.2</v>
      </c>
      <c r="F6">
        <v>5000</v>
      </c>
      <c r="G6">
        <v>110</v>
      </c>
      <c r="H6">
        <f t="shared" si="1"/>
        <v>150</v>
      </c>
      <c r="I6">
        <v>8</v>
      </c>
      <c r="J6">
        <f t="shared" si="17"/>
        <v>13.75</v>
      </c>
      <c r="K6">
        <f t="shared" si="2"/>
        <v>0.23891045859001608</v>
      </c>
      <c r="L6">
        <f t="shared" si="3"/>
        <v>0.55000000000000004</v>
      </c>
      <c r="M6">
        <f t="shared" si="4"/>
        <v>5</v>
      </c>
      <c r="N6">
        <v>2.5</v>
      </c>
      <c r="O6">
        <f t="shared" si="5"/>
        <v>222</v>
      </c>
      <c r="P6">
        <f t="shared" si="6"/>
        <v>203400</v>
      </c>
      <c r="Q6">
        <f t="shared" si="7"/>
        <v>3520</v>
      </c>
      <c r="R6">
        <f t="shared" si="8"/>
        <v>804.24771931898704</v>
      </c>
      <c r="S6">
        <f t="shared" si="9"/>
        <v>4324.247719318987</v>
      </c>
      <c r="T6">
        <f t="shared" si="18"/>
        <v>14118333.707433984</v>
      </c>
      <c r="U6">
        <f t="shared" si="10"/>
        <v>57.139500414724267</v>
      </c>
      <c r="V6">
        <f t="shared" si="11"/>
        <v>87.505140291908305</v>
      </c>
      <c r="W6">
        <f t="shared" si="12"/>
        <v>0.92020524780562418</v>
      </c>
      <c r="X6">
        <f t="shared" si="13"/>
        <v>959.98299368881521</v>
      </c>
      <c r="Y6">
        <v>627.70000000000005</v>
      </c>
      <c r="Z6">
        <f t="shared" si="14"/>
        <v>0.65386574983793211</v>
      </c>
      <c r="AA6" t="str">
        <f t="shared" si="15"/>
        <v>LC-M5</v>
      </c>
      <c r="AB6">
        <f t="shared" si="19"/>
        <v>360</v>
      </c>
      <c r="AC6">
        <f t="shared" si="24"/>
        <v>468.37972876516773</v>
      </c>
      <c r="AD6">
        <f t="shared" si="20"/>
        <v>373.45856872555174</v>
      </c>
      <c r="AE6">
        <f t="shared" si="21"/>
        <v>270.24481095632694</v>
      </c>
      <c r="AF6">
        <f t="shared" si="22"/>
        <v>348.68726686093777</v>
      </c>
      <c r="AG6">
        <f t="shared" si="23"/>
        <v>1061.8709391284801</v>
      </c>
      <c r="AH6">
        <f t="shared" si="16"/>
        <v>0.59112645131354524</v>
      </c>
    </row>
    <row r="7" spans="1:34" x14ac:dyDescent="0.25">
      <c r="A7">
        <v>6</v>
      </c>
      <c r="B7" t="str">
        <f t="shared" si="0"/>
        <v>Q235+S170</v>
      </c>
      <c r="C7">
        <v>235</v>
      </c>
      <c r="D7">
        <v>170</v>
      </c>
      <c r="E7">
        <v>0.2</v>
      </c>
      <c r="F7">
        <v>6000</v>
      </c>
      <c r="G7">
        <v>110</v>
      </c>
      <c r="H7">
        <f t="shared" si="1"/>
        <v>150</v>
      </c>
      <c r="I7">
        <v>8</v>
      </c>
      <c r="J7">
        <f t="shared" si="17"/>
        <v>13.75</v>
      </c>
      <c r="K7">
        <f t="shared" si="2"/>
        <v>0.23891045859001608</v>
      </c>
      <c r="L7">
        <f t="shared" si="3"/>
        <v>0.55000000000000004</v>
      </c>
      <c r="M7">
        <f t="shared" si="4"/>
        <v>6</v>
      </c>
      <c r="N7">
        <v>2.5</v>
      </c>
      <c r="O7">
        <f t="shared" si="5"/>
        <v>222</v>
      </c>
      <c r="P7">
        <f t="shared" si="6"/>
        <v>203400</v>
      </c>
      <c r="Q7">
        <f t="shared" si="7"/>
        <v>3520</v>
      </c>
      <c r="R7">
        <f t="shared" si="8"/>
        <v>804.24771931898704</v>
      </c>
      <c r="S7">
        <f t="shared" si="9"/>
        <v>4324.247719318987</v>
      </c>
      <c r="T7">
        <f t="shared" si="18"/>
        <v>14118333.707433984</v>
      </c>
      <c r="U7">
        <f t="shared" si="10"/>
        <v>57.139500414724267</v>
      </c>
      <c r="V7">
        <f t="shared" si="11"/>
        <v>105.00616835028997</v>
      </c>
      <c r="W7">
        <f t="shared" si="12"/>
        <v>1.1042462973667493</v>
      </c>
      <c r="X7">
        <f t="shared" si="13"/>
        <v>959.98299368881521</v>
      </c>
      <c r="Y7">
        <v>535</v>
      </c>
      <c r="Z7">
        <f t="shared" si="14"/>
        <v>0.55730153921187453</v>
      </c>
      <c r="AA7" t="str">
        <f t="shared" si="15"/>
        <v>LC-M6</v>
      </c>
      <c r="AB7">
        <f t="shared" si="19"/>
        <v>360</v>
      </c>
      <c r="AC7">
        <f t="shared" si="24"/>
        <v>468.37972876516773</v>
      </c>
      <c r="AD7">
        <f t="shared" si="20"/>
        <v>373.45856872555174</v>
      </c>
      <c r="AE7">
        <f t="shared" si="21"/>
        <v>270.24481095632694</v>
      </c>
      <c r="AF7">
        <f t="shared" si="22"/>
        <v>348.68726686093777</v>
      </c>
      <c r="AG7">
        <f t="shared" si="23"/>
        <v>1061.8709391284801</v>
      </c>
      <c r="AH7">
        <f t="shared" si="16"/>
        <v>0.50382770663174548</v>
      </c>
    </row>
    <row r="8" spans="1:34" x14ac:dyDescent="0.25">
      <c r="A8">
        <v>7</v>
      </c>
      <c r="B8" t="str">
        <f t="shared" si="0"/>
        <v>Q235+S170</v>
      </c>
      <c r="C8">
        <v>235</v>
      </c>
      <c r="D8">
        <v>170</v>
      </c>
      <c r="E8">
        <v>0.2</v>
      </c>
      <c r="F8">
        <v>7000</v>
      </c>
      <c r="G8">
        <v>110</v>
      </c>
      <c r="H8">
        <f t="shared" si="1"/>
        <v>150</v>
      </c>
      <c r="I8">
        <v>8</v>
      </c>
      <c r="J8">
        <f t="shared" si="17"/>
        <v>13.75</v>
      </c>
      <c r="K8">
        <f t="shared" si="2"/>
        <v>0.23891045859001608</v>
      </c>
      <c r="L8">
        <f t="shared" si="3"/>
        <v>0.55000000000000004</v>
      </c>
      <c r="M8">
        <f t="shared" si="4"/>
        <v>7</v>
      </c>
      <c r="N8">
        <v>2.5</v>
      </c>
      <c r="O8">
        <f t="shared" si="5"/>
        <v>222</v>
      </c>
      <c r="P8">
        <f t="shared" si="6"/>
        <v>203400</v>
      </c>
      <c r="Q8">
        <f t="shared" si="7"/>
        <v>3520</v>
      </c>
      <c r="R8">
        <f t="shared" si="8"/>
        <v>804.24771931898704</v>
      </c>
      <c r="S8">
        <f t="shared" si="9"/>
        <v>4324.247719318987</v>
      </c>
      <c r="T8">
        <f t="shared" si="18"/>
        <v>14118333.707433984</v>
      </c>
      <c r="U8">
        <f t="shared" si="10"/>
        <v>57.139500414724267</v>
      </c>
      <c r="V8">
        <f t="shared" si="11"/>
        <v>122.50719640867163</v>
      </c>
      <c r="W8">
        <f t="shared" si="12"/>
        <v>1.2882873469278739</v>
      </c>
      <c r="X8">
        <f t="shared" si="13"/>
        <v>959.98299368881521</v>
      </c>
      <c r="Y8">
        <v>439.8</v>
      </c>
      <c r="Z8">
        <f t="shared" si="14"/>
        <v>0.4581331157857616</v>
      </c>
      <c r="AA8" t="str">
        <f t="shared" si="15"/>
        <v>LC-M7</v>
      </c>
      <c r="AB8">
        <f t="shared" si="19"/>
        <v>360</v>
      </c>
      <c r="AC8">
        <f t="shared" si="24"/>
        <v>468.37972876516773</v>
      </c>
      <c r="AD8">
        <f t="shared" si="20"/>
        <v>373.45856872555174</v>
      </c>
      <c r="AE8">
        <f t="shared" si="21"/>
        <v>270.24481095632694</v>
      </c>
      <c r="AF8">
        <f t="shared" si="22"/>
        <v>348.68726686093777</v>
      </c>
      <c r="AG8">
        <f t="shared" si="23"/>
        <v>1061.8709391284801</v>
      </c>
      <c r="AH8">
        <f t="shared" si="16"/>
        <v>0.41417462687222745</v>
      </c>
    </row>
    <row r="9" spans="1:34" x14ac:dyDescent="0.25">
      <c r="A9">
        <v>8</v>
      </c>
      <c r="B9" t="str">
        <f t="shared" si="0"/>
        <v>Q235+S170</v>
      </c>
      <c r="C9">
        <v>235</v>
      </c>
      <c r="D9">
        <v>170</v>
      </c>
      <c r="E9">
        <v>0.2</v>
      </c>
      <c r="F9">
        <v>8000</v>
      </c>
      <c r="G9">
        <v>110</v>
      </c>
      <c r="H9">
        <f t="shared" si="1"/>
        <v>150</v>
      </c>
      <c r="I9">
        <v>8</v>
      </c>
      <c r="J9">
        <f t="shared" si="17"/>
        <v>13.75</v>
      </c>
      <c r="K9">
        <f t="shared" si="2"/>
        <v>0.23891045859001608</v>
      </c>
      <c r="L9">
        <f t="shared" si="3"/>
        <v>0.55000000000000004</v>
      </c>
      <c r="M9">
        <f t="shared" si="4"/>
        <v>8</v>
      </c>
      <c r="N9">
        <v>2.5</v>
      </c>
      <c r="O9">
        <f t="shared" si="5"/>
        <v>222</v>
      </c>
      <c r="P9">
        <f t="shared" si="6"/>
        <v>203400</v>
      </c>
      <c r="Q9">
        <f t="shared" si="7"/>
        <v>3520</v>
      </c>
      <c r="R9">
        <f t="shared" si="8"/>
        <v>804.24771931898704</v>
      </c>
      <c r="S9">
        <f t="shared" si="9"/>
        <v>4324.247719318987</v>
      </c>
      <c r="T9">
        <f t="shared" si="18"/>
        <v>14118333.707433984</v>
      </c>
      <c r="U9">
        <f t="shared" si="10"/>
        <v>57.139500414724267</v>
      </c>
      <c r="V9">
        <f t="shared" si="11"/>
        <v>140.00822446705328</v>
      </c>
      <c r="W9">
        <f t="shared" si="12"/>
        <v>1.4723283964889988</v>
      </c>
      <c r="X9">
        <f t="shared" si="13"/>
        <v>959.98299368881521</v>
      </c>
      <c r="Y9">
        <v>359.4</v>
      </c>
      <c r="Z9">
        <f t="shared" si="14"/>
        <v>0.37438163213597703</v>
      </c>
      <c r="AA9" t="str">
        <f t="shared" si="15"/>
        <v>LC-M8</v>
      </c>
      <c r="AB9">
        <f t="shared" si="19"/>
        <v>360</v>
      </c>
      <c r="AC9">
        <f t="shared" si="24"/>
        <v>468.37972876516773</v>
      </c>
      <c r="AD9">
        <f t="shared" si="20"/>
        <v>373.45856872555174</v>
      </c>
      <c r="AE9">
        <f t="shared" si="21"/>
        <v>270.24481095632694</v>
      </c>
      <c r="AF9">
        <f t="shared" si="22"/>
        <v>348.68726686093777</v>
      </c>
      <c r="AG9">
        <f t="shared" si="23"/>
        <v>1061.8709391284801</v>
      </c>
      <c r="AH9">
        <f t="shared" si="16"/>
        <v>0.3384592107728025</v>
      </c>
    </row>
    <row r="10" spans="1:34" x14ac:dyDescent="0.25">
      <c r="A10">
        <v>9</v>
      </c>
      <c r="B10" t="str">
        <f t="shared" si="0"/>
        <v>Q235+S170</v>
      </c>
      <c r="C10">
        <v>235</v>
      </c>
      <c r="D10">
        <v>170</v>
      </c>
      <c r="E10">
        <v>0.2</v>
      </c>
      <c r="F10">
        <v>9000</v>
      </c>
      <c r="G10">
        <v>110</v>
      </c>
      <c r="H10">
        <f t="shared" si="1"/>
        <v>150</v>
      </c>
      <c r="I10">
        <v>8</v>
      </c>
      <c r="J10">
        <f t="shared" si="17"/>
        <v>13.75</v>
      </c>
      <c r="K10">
        <f t="shared" si="2"/>
        <v>0.23891045859001608</v>
      </c>
      <c r="L10">
        <f t="shared" si="3"/>
        <v>0.55000000000000004</v>
      </c>
      <c r="M10">
        <f t="shared" si="4"/>
        <v>9</v>
      </c>
      <c r="N10">
        <v>2.5</v>
      </c>
      <c r="O10">
        <f t="shared" si="5"/>
        <v>222</v>
      </c>
      <c r="P10">
        <f t="shared" si="6"/>
        <v>203400</v>
      </c>
      <c r="Q10">
        <f t="shared" si="7"/>
        <v>3520</v>
      </c>
      <c r="R10">
        <f t="shared" si="8"/>
        <v>804.24771931898704</v>
      </c>
      <c r="S10">
        <f t="shared" si="9"/>
        <v>4324.247719318987</v>
      </c>
      <c r="T10">
        <f t="shared" si="18"/>
        <v>14118333.707433984</v>
      </c>
      <c r="U10">
        <f t="shared" si="10"/>
        <v>57.139500414724267</v>
      </c>
      <c r="V10">
        <f t="shared" si="11"/>
        <v>157.50925252543496</v>
      </c>
      <c r="W10">
        <f t="shared" si="12"/>
        <v>1.6563694460501237</v>
      </c>
      <c r="X10">
        <f t="shared" si="13"/>
        <v>959.98299368881521</v>
      </c>
      <c r="Y10">
        <v>296.7</v>
      </c>
      <c r="Z10">
        <f t="shared" si="14"/>
        <v>0.30906797511058537</v>
      </c>
      <c r="AA10" t="str">
        <f t="shared" si="15"/>
        <v>LC-M9</v>
      </c>
      <c r="AB10">
        <f t="shared" si="19"/>
        <v>360</v>
      </c>
      <c r="AC10">
        <f t="shared" si="24"/>
        <v>468.37972876516773</v>
      </c>
      <c r="AD10">
        <f t="shared" si="20"/>
        <v>373.45856872555174</v>
      </c>
      <c r="AE10">
        <f t="shared" si="21"/>
        <v>270.24481095632694</v>
      </c>
      <c r="AF10">
        <f t="shared" si="22"/>
        <v>348.68726686093777</v>
      </c>
      <c r="AG10">
        <f t="shared" si="23"/>
        <v>1061.8709391284801</v>
      </c>
      <c r="AH10">
        <f t="shared" si="16"/>
        <v>0.27941248702362409</v>
      </c>
    </row>
    <row r="11" spans="1:34" x14ac:dyDescent="0.25">
      <c r="A11">
        <v>10</v>
      </c>
      <c r="B11" t="str">
        <f t="shared" si="0"/>
        <v>Q235+S170</v>
      </c>
      <c r="C11">
        <v>235</v>
      </c>
      <c r="D11">
        <v>170</v>
      </c>
      <c r="E11">
        <v>0.2</v>
      </c>
      <c r="F11">
        <v>10000</v>
      </c>
      <c r="G11">
        <v>110</v>
      </c>
      <c r="H11">
        <f t="shared" si="1"/>
        <v>150</v>
      </c>
      <c r="I11">
        <v>8</v>
      </c>
      <c r="J11">
        <f t="shared" si="17"/>
        <v>13.75</v>
      </c>
      <c r="K11">
        <f t="shared" si="2"/>
        <v>0.23891045859001608</v>
      </c>
      <c r="L11">
        <f t="shared" si="3"/>
        <v>0.55000000000000004</v>
      </c>
      <c r="M11">
        <f t="shared" si="4"/>
        <v>10</v>
      </c>
      <c r="N11">
        <v>2.5</v>
      </c>
      <c r="O11">
        <f t="shared" si="5"/>
        <v>222</v>
      </c>
      <c r="P11">
        <f t="shared" si="6"/>
        <v>203400</v>
      </c>
      <c r="Q11">
        <f t="shared" si="7"/>
        <v>3520</v>
      </c>
      <c r="R11">
        <f t="shared" si="8"/>
        <v>804.24771931898704</v>
      </c>
      <c r="S11">
        <f t="shared" si="9"/>
        <v>4324.247719318987</v>
      </c>
      <c r="T11">
        <f t="shared" si="18"/>
        <v>14118333.707433984</v>
      </c>
      <c r="U11">
        <f t="shared" si="10"/>
        <v>57.139500414724267</v>
      </c>
      <c r="V11">
        <f t="shared" si="11"/>
        <v>175.01028058381661</v>
      </c>
      <c r="W11">
        <f t="shared" si="12"/>
        <v>1.8404104956112484</v>
      </c>
      <c r="X11">
        <f t="shared" si="13"/>
        <v>959.98299368881521</v>
      </c>
      <c r="Y11">
        <v>246.3</v>
      </c>
      <c r="Z11">
        <f t="shared" si="14"/>
        <v>0.25656704506146677</v>
      </c>
      <c r="AA11" t="str">
        <f t="shared" si="15"/>
        <v>LC-M10</v>
      </c>
      <c r="AB11">
        <f t="shared" si="19"/>
        <v>360</v>
      </c>
      <c r="AC11">
        <f t="shared" si="24"/>
        <v>468.37972876516773</v>
      </c>
      <c r="AD11">
        <f t="shared" si="20"/>
        <v>373.45856872555174</v>
      </c>
      <c r="AE11">
        <f t="shared" si="21"/>
        <v>270.24481095632694</v>
      </c>
      <c r="AF11">
        <f t="shared" si="22"/>
        <v>348.68726686093777</v>
      </c>
      <c r="AG11">
        <f t="shared" si="23"/>
        <v>1061.8709391284801</v>
      </c>
      <c r="AH11">
        <f t="shared" si="16"/>
        <v>0.23194909185682042</v>
      </c>
    </row>
    <row r="12" spans="1:34" x14ac:dyDescent="0.25">
      <c r="A12">
        <v>11</v>
      </c>
      <c r="B12" t="str">
        <f t="shared" si="0"/>
        <v>Q235+S170</v>
      </c>
      <c r="C12">
        <v>235</v>
      </c>
      <c r="D12">
        <v>170</v>
      </c>
      <c r="E12">
        <v>0.2</v>
      </c>
      <c r="F12">
        <v>12000</v>
      </c>
      <c r="G12">
        <v>110</v>
      </c>
      <c r="H12">
        <f t="shared" si="1"/>
        <v>150</v>
      </c>
      <c r="I12">
        <v>8</v>
      </c>
      <c r="J12">
        <f t="shared" si="17"/>
        <v>13.75</v>
      </c>
      <c r="K12">
        <f t="shared" si="2"/>
        <v>0.23891045859001608</v>
      </c>
      <c r="L12">
        <f t="shared" si="3"/>
        <v>0.55000000000000004</v>
      </c>
      <c r="M12">
        <f t="shared" si="4"/>
        <v>12</v>
      </c>
      <c r="N12">
        <v>2.5</v>
      </c>
      <c r="O12">
        <f t="shared" si="5"/>
        <v>222</v>
      </c>
      <c r="P12">
        <f t="shared" si="6"/>
        <v>203400</v>
      </c>
      <c r="Q12">
        <f t="shared" si="7"/>
        <v>3520</v>
      </c>
      <c r="R12">
        <f t="shared" si="8"/>
        <v>804.24771931898704</v>
      </c>
      <c r="S12">
        <f t="shared" si="9"/>
        <v>4324.247719318987</v>
      </c>
      <c r="T12">
        <f t="shared" si="18"/>
        <v>14118333.707433984</v>
      </c>
      <c r="U12">
        <f t="shared" si="10"/>
        <v>57.139500414724267</v>
      </c>
      <c r="V12">
        <f t="shared" si="11"/>
        <v>210.01233670057994</v>
      </c>
      <c r="W12">
        <f t="shared" si="12"/>
        <v>2.2084925947334986</v>
      </c>
      <c r="X12">
        <f t="shared" si="13"/>
        <v>959.98299368881521</v>
      </c>
      <c r="Y12">
        <v>176.7</v>
      </c>
      <c r="Z12">
        <f t="shared" si="14"/>
        <v>0.18406576070792194</v>
      </c>
      <c r="AA12" t="str">
        <f t="shared" si="15"/>
        <v>LC-M11</v>
      </c>
      <c r="AB12">
        <f t="shared" si="19"/>
        <v>360</v>
      </c>
      <c r="AC12">
        <f t="shared" si="24"/>
        <v>468.37972876516773</v>
      </c>
      <c r="AD12">
        <f t="shared" si="20"/>
        <v>373.45856872555174</v>
      </c>
      <c r="AE12">
        <f t="shared" si="21"/>
        <v>270.24481095632694</v>
      </c>
      <c r="AF12">
        <f t="shared" si="22"/>
        <v>348.68726686093777</v>
      </c>
      <c r="AG12">
        <f t="shared" si="23"/>
        <v>1061.8709391284801</v>
      </c>
      <c r="AH12">
        <f t="shared" si="16"/>
        <v>0.16640440329313913</v>
      </c>
    </row>
    <row r="13" spans="1:34" x14ac:dyDescent="0.25">
      <c r="A13">
        <v>12</v>
      </c>
      <c r="B13" t="str">
        <f t="shared" si="0"/>
        <v>Q355+S205</v>
      </c>
      <c r="C13">
        <v>355</v>
      </c>
      <c r="D13">
        <v>205</v>
      </c>
      <c r="E13">
        <v>0.2</v>
      </c>
      <c r="F13">
        <v>1000</v>
      </c>
      <c r="G13">
        <v>110</v>
      </c>
      <c r="H13">
        <f t="shared" ref="H13:H23" si="25">G13+2*I13*N13</f>
        <v>150</v>
      </c>
      <c r="I13">
        <v>8</v>
      </c>
      <c r="J13">
        <f t="shared" si="17"/>
        <v>13.75</v>
      </c>
      <c r="K13">
        <f t="shared" ref="K13:K23" si="26">SQRT(12*(1-0.3^2)*J13^2*O13/(4*PI()^2*P13))</f>
        <v>0.28906822465146947</v>
      </c>
      <c r="L13">
        <f t="shared" ref="L13:L23" si="27">I13*J13/200</f>
        <v>0.55000000000000004</v>
      </c>
      <c r="M13">
        <f t="shared" ref="M13:M23" si="28">F13/1000</f>
        <v>1</v>
      </c>
      <c r="N13">
        <v>2.5</v>
      </c>
      <c r="O13">
        <f t="shared" ref="O13:O23" si="29">E13*D13+(1-E13)*C13</f>
        <v>325</v>
      </c>
      <c r="P13">
        <f t="shared" ref="P13:P23" si="30">193000*E13+(1-E13)*206000</f>
        <v>203400</v>
      </c>
      <c r="Q13">
        <f t="shared" ref="Q13:Q23" si="31">I13*J13*I13*4</f>
        <v>3520</v>
      </c>
      <c r="R13">
        <f t="shared" ref="R13:R23" si="32">PI()*(N13*I13)^2-PI()*((N13-1)*I13)^2</f>
        <v>804.24771931898704</v>
      </c>
      <c r="S13">
        <f t="shared" ref="S13:S23" si="33">Q13+R13</f>
        <v>4324.247719318987</v>
      </c>
      <c r="T13">
        <f t="shared" si="18"/>
        <v>14118333.707433984</v>
      </c>
      <c r="U13">
        <f t="shared" ref="U13:U23" si="34">SQRT(T13/S13)</f>
        <v>57.139500414724267</v>
      </c>
      <c r="V13">
        <f t="shared" ref="V13:V23" si="35">F13/U13</f>
        <v>17.50102805838166</v>
      </c>
      <c r="W13">
        <f t="shared" ref="W13:W23" si="36">V13/PI()*SQRT(O13/P13)</f>
        <v>0.22267932418531081</v>
      </c>
      <c r="X13">
        <f t="shared" ref="X13:X23" si="37">S13*O13/1000</f>
        <v>1405.3805087786709</v>
      </c>
      <c r="Y13">
        <v>1484.1</v>
      </c>
      <c r="Z13">
        <f t="shared" ref="Z13:Z23" si="38">Y13/X13</f>
        <v>1.0560129379407284</v>
      </c>
      <c r="AA13" t="str">
        <f t="shared" ref="AA13:AA23" si="39">"LC-M"&amp;A13</f>
        <v>LC-M12</v>
      </c>
      <c r="AB13">
        <f t="shared" si="19"/>
        <v>490</v>
      </c>
      <c r="AC13">
        <f>D13/(0.2+185*D13/193000)</f>
        <v>517.02058150931066</v>
      </c>
      <c r="AD13">
        <f t="shared" si="20"/>
        <v>519.7880493042129</v>
      </c>
      <c r="AE13">
        <f t="shared" si="21"/>
        <v>325.88344850615891</v>
      </c>
      <c r="AF13">
        <f t="shared" si="22"/>
        <v>473.25094511267991</v>
      </c>
      <c r="AG13">
        <f>(AF13*R13+O13*Q13)/1000</f>
        <v>1524.610993272428</v>
      </c>
      <c r="AH13">
        <f t="shared" si="16"/>
        <v>0.97342863625463227</v>
      </c>
    </row>
    <row r="14" spans="1:34" x14ac:dyDescent="0.25">
      <c r="A14">
        <v>13</v>
      </c>
      <c r="B14" t="str">
        <f t="shared" si="0"/>
        <v>Q355+S205</v>
      </c>
      <c r="C14">
        <v>355</v>
      </c>
      <c r="D14">
        <v>205</v>
      </c>
      <c r="E14">
        <v>0.2</v>
      </c>
      <c r="F14">
        <v>2000</v>
      </c>
      <c r="G14">
        <v>110</v>
      </c>
      <c r="H14">
        <f t="shared" si="25"/>
        <v>150</v>
      </c>
      <c r="I14">
        <v>8</v>
      </c>
      <c r="J14">
        <f t="shared" si="17"/>
        <v>13.75</v>
      </c>
      <c r="K14">
        <f t="shared" si="26"/>
        <v>0.28906822465146947</v>
      </c>
      <c r="L14">
        <f t="shared" si="27"/>
        <v>0.55000000000000004</v>
      </c>
      <c r="M14">
        <f t="shared" si="28"/>
        <v>2</v>
      </c>
      <c r="N14">
        <v>2.5</v>
      </c>
      <c r="O14">
        <f t="shared" si="29"/>
        <v>325</v>
      </c>
      <c r="P14">
        <f t="shared" si="30"/>
        <v>203400</v>
      </c>
      <c r="Q14">
        <f t="shared" si="31"/>
        <v>3520</v>
      </c>
      <c r="R14">
        <f t="shared" si="32"/>
        <v>804.24771931898704</v>
      </c>
      <c r="S14">
        <f t="shared" si="33"/>
        <v>4324.247719318987</v>
      </c>
      <c r="T14">
        <f t="shared" si="18"/>
        <v>14118333.707433984</v>
      </c>
      <c r="U14">
        <f t="shared" si="34"/>
        <v>57.139500414724267</v>
      </c>
      <c r="V14">
        <f t="shared" si="35"/>
        <v>35.00205611676332</v>
      </c>
      <c r="W14">
        <f t="shared" si="36"/>
        <v>0.44535864837062161</v>
      </c>
      <c r="X14">
        <f t="shared" si="37"/>
        <v>1405.3805087786709</v>
      </c>
      <c r="Y14">
        <v>1277.2</v>
      </c>
      <c r="Z14">
        <f t="shared" si="38"/>
        <v>0.90879302226123471</v>
      </c>
      <c r="AA14" t="str">
        <f t="shared" si="39"/>
        <v>LC-M13</v>
      </c>
      <c r="AB14">
        <f t="shared" si="19"/>
        <v>490</v>
      </c>
      <c r="AC14">
        <f>D14/(0.2+185*D14/193000)</f>
        <v>517.02058150931066</v>
      </c>
      <c r="AD14">
        <f t="shared" si="20"/>
        <v>519.7880493042129</v>
      </c>
      <c r="AE14">
        <f t="shared" si="21"/>
        <v>325.88344850615891</v>
      </c>
      <c r="AF14">
        <f t="shared" si="22"/>
        <v>473.25094511267991</v>
      </c>
      <c r="AG14">
        <f t="shared" ref="AG14:AG23" si="40">(AF14*R14+O14*Q14)/1000</f>
        <v>1524.610993272428</v>
      </c>
      <c r="AH14">
        <f t="shared" si="16"/>
        <v>0.83772188816415094</v>
      </c>
    </row>
    <row r="15" spans="1:34" x14ac:dyDescent="0.25">
      <c r="A15">
        <v>14</v>
      </c>
      <c r="B15" t="str">
        <f t="shared" si="0"/>
        <v>Q355+S205</v>
      </c>
      <c r="C15">
        <v>355</v>
      </c>
      <c r="D15">
        <v>205</v>
      </c>
      <c r="E15">
        <v>0.2</v>
      </c>
      <c r="F15">
        <v>3000</v>
      </c>
      <c r="G15">
        <v>110</v>
      </c>
      <c r="H15">
        <f t="shared" si="25"/>
        <v>150</v>
      </c>
      <c r="I15">
        <v>8</v>
      </c>
      <c r="J15">
        <f t="shared" si="17"/>
        <v>13.75</v>
      </c>
      <c r="K15">
        <f t="shared" si="26"/>
        <v>0.28906822465146947</v>
      </c>
      <c r="L15">
        <f t="shared" si="27"/>
        <v>0.55000000000000004</v>
      </c>
      <c r="M15">
        <f t="shared" si="28"/>
        <v>3</v>
      </c>
      <c r="N15">
        <v>2.5</v>
      </c>
      <c r="O15">
        <f t="shared" si="29"/>
        <v>325</v>
      </c>
      <c r="P15">
        <f t="shared" si="30"/>
        <v>203400</v>
      </c>
      <c r="Q15">
        <f t="shared" si="31"/>
        <v>3520</v>
      </c>
      <c r="R15">
        <f t="shared" si="32"/>
        <v>804.24771931898704</v>
      </c>
      <c r="S15">
        <f t="shared" si="33"/>
        <v>4324.247719318987</v>
      </c>
      <c r="T15">
        <f t="shared" si="18"/>
        <v>14118333.707433984</v>
      </c>
      <c r="U15">
        <f t="shared" si="34"/>
        <v>57.139500414724267</v>
      </c>
      <c r="V15">
        <f t="shared" si="35"/>
        <v>52.503084175144984</v>
      </c>
      <c r="W15">
        <f t="shared" si="36"/>
        <v>0.66803797255593245</v>
      </c>
      <c r="X15">
        <f t="shared" si="37"/>
        <v>1405.3805087786709</v>
      </c>
      <c r="Y15">
        <v>1116.5999999999999</v>
      </c>
      <c r="Z15">
        <f t="shared" si="38"/>
        <v>0.79451792096531049</v>
      </c>
      <c r="AA15" t="str">
        <f t="shared" si="39"/>
        <v>LC-M14</v>
      </c>
      <c r="AB15">
        <f t="shared" si="19"/>
        <v>490</v>
      </c>
      <c r="AC15">
        <f>D15/(0.2+185*D15/193000)</f>
        <v>517.02058150931066</v>
      </c>
      <c r="AD15">
        <f t="shared" si="20"/>
        <v>519.7880493042129</v>
      </c>
      <c r="AE15">
        <f t="shared" si="21"/>
        <v>325.88344850615891</v>
      </c>
      <c r="AF15">
        <f t="shared" si="22"/>
        <v>473.25094511267991</v>
      </c>
      <c r="AG15">
        <f t="shared" si="40"/>
        <v>1524.610993272428</v>
      </c>
      <c r="AH15">
        <f t="shared" si="16"/>
        <v>0.73238354237714598</v>
      </c>
    </row>
    <row r="16" spans="1:34" x14ac:dyDescent="0.25">
      <c r="A16">
        <v>15</v>
      </c>
      <c r="B16" t="str">
        <f t="shared" si="0"/>
        <v>Q355+S205</v>
      </c>
      <c r="C16">
        <v>355</v>
      </c>
      <c r="D16">
        <v>205</v>
      </c>
      <c r="E16">
        <v>0.2</v>
      </c>
      <c r="F16">
        <v>4000</v>
      </c>
      <c r="G16">
        <v>110</v>
      </c>
      <c r="H16">
        <f t="shared" si="25"/>
        <v>150</v>
      </c>
      <c r="I16">
        <v>8</v>
      </c>
      <c r="J16">
        <f t="shared" si="17"/>
        <v>13.75</v>
      </c>
      <c r="K16">
        <f t="shared" si="26"/>
        <v>0.28906822465146947</v>
      </c>
      <c r="L16">
        <f t="shared" si="27"/>
        <v>0.55000000000000004</v>
      </c>
      <c r="M16">
        <f t="shared" si="28"/>
        <v>4</v>
      </c>
      <c r="N16">
        <v>2.5</v>
      </c>
      <c r="O16">
        <f t="shared" si="29"/>
        <v>325</v>
      </c>
      <c r="P16">
        <f t="shared" si="30"/>
        <v>203400</v>
      </c>
      <c r="Q16">
        <f t="shared" si="31"/>
        <v>3520</v>
      </c>
      <c r="R16">
        <f t="shared" si="32"/>
        <v>804.24771931898704</v>
      </c>
      <c r="S16">
        <f t="shared" si="33"/>
        <v>4324.247719318987</v>
      </c>
      <c r="T16">
        <f t="shared" si="18"/>
        <v>14118333.707433984</v>
      </c>
      <c r="U16">
        <f t="shared" si="34"/>
        <v>57.139500414724267</v>
      </c>
      <c r="V16">
        <f t="shared" si="35"/>
        <v>70.004112233526641</v>
      </c>
      <c r="W16">
        <f t="shared" si="36"/>
        <v>0.89071729674124323</v>
      </c>
      <c r="X16">
        <f t="shared" si="37"/>
        <v>1405.3805087786709</v>
      </c>
      <c r="Y16">
        <v>962.3</v>
      </c>
      <c r="Z16">
        <f t="shared" si="38"/>
        <v>0.68472559138896505</v>
      </c>
      <c r="AA16" t="str">
        <f t="shared" si="39"/>
        <v>LC-M15</v>
      </c>
      <c r="AB16">
        <f t="shared" si="19"/>
        <v>490</v>
      </c>
      <c r="AC16">
        <f t="shared" ref="AC16:AC23" si="41">D16/(0.2+185*D16/193000)</f>
        <v>517.02058150931066</v>
      </c>
      <c r="AD16">
        <f t="shared" si="20"/>
        <v>519.7880493042129</v>
      </c>
      <c r="AE16">
        <f t="shared" si="21"/>
        <v>325.88344850615891</v>
      </c>
      <c r="AF16">
        <f t="shared" si="22"/>
        <v>473.25094511267991</v>
      </c>
      <c r="AG16">
        <f t="shared" si="40"/>
        <v>1524.610993272428</v>
      </c>
      <c r="AH16">
        <f t="shared" si="16"/>
        <v>0.6311773981994695</v>
      </c>
    </row>
    <row r="17" spans="1:34" x14ac:dyDescent="0.25">
      <c r="A17">
        <v>16</v>
      </c>
      <c r="B17" t="str">
        <f t="shared" si="0"/>
        <v>Q355+S205</v>
      </c>
      <c r="C17">
        <v>355</v>
      </c>
      <c r="D17">
        <v>205</v>
      </c>
      <c r="E17">
        <v>0.2</v>
      </c>
      <c r="F17">
        <v>5000</v>
      </c>
      <c r="G17">
        <v>110</v>
      </c>
      <c r="H17">
        <f t="shared" si="25"/>
        <v>150</v>
      </c>
      <c r="I17">
        <v>8</v>
      </c>
      <c r="J17">
        <f t="shared" si="17"/>
        <v>13.75</v>
      </c>
      <c r="K17">
        <f t="shared" si="26"/>
        <v>0.28906822465146947</v>
      </c>
      <c r="L17">
        <f t="shared" si="27"/>
        <v>0.55000000000000004</v>
      </c>
      <c r="M17">
        <f t="shared" si="28"/>
        <v>5</v>
      </c>
      <c r="N17">
        <v>2.5</v>
      </c>
      <c r="O17">
        <f t="shared" si="29"/>
        <v>325</v>
      </c>
      <c r="P17">
        <f t="shared" si="30"/>
        <v>203400</v>
      </c>
      <c r="Q17">
        <f t="shared" si="31"/>
        <v>3520</v>
      </c>
      <c r="R17">
        <f t="shared" si="32"/>
        <v>804.24771931898704</v>
      </c>
      <c r="S17">
        <f t="shared" si="33"/>
        <v>4324.247719318987</v>
      </c>
      <c r="T17">
        <f t="shared" si="18"/>
        <v>14118333.707433984</v>
      </c>
      <c r="U17">
        <f t="shared" si="34"/>
        <v>57.139500414724267</v>
      </c>
      <c r="V17">
        <f t="shared" si="35"/>
        <v>87.505140291908305</v>
      </c>
      <c r="W17">
        <f t="shared" si="36"/>
        <v>1.113396620926554</v>
      </c>
      <c r="X17">
        <f t="shared" si="37"/>
        <v>1405.3805087786709</v>
      </c>
      <c r="Y17">
        <v>799.9</v>
      </c>
      <c r="Z17">
        <f t="shared" si="38"/>
        <v>0.56916969817316132</v>
      </c>
      <c r="AA17" t="str">
        <f t="shared" si="39"/>
        <v>LC-M16</v>
      </c>
      <c r="AB17">
        <f t="shared" si="19"/>
        <v>490</v>
      </c>
      <c r="AC17">
        <f t="shared" si="41"/>
        <v>517.02058150931066</v>
      </c>
      <c r="AD17">
        <f t="shared" si="20"/>
        <v>519.7880493042129</v>
      </c>
      <c r="AE17">
        <f t="shared" si="21"/>
        <v>325.88344850615891</v>
      </c>
      <c r="AF17">
        <f t="shared" si="22"/>
        <v>473.25094511267991</v>
      </c>
      <c r="AG17">
        <f t="shared" si="40"/>
        <v>1524.610993272428</v>
      </c>
      <c r="AH17">
        <f t="shared" si="16"/>
        <v>0.52465842338122792</v>
      </c>
    </row>
    <row r="18" spans="1:34" x14ac:dyDescent="0.25">
      <c r="A18">
        <v>17</v>
      </c>
      <c r="B18" t="str">
        <f t="shared" si="0"/>
        <v>Q355+S205</v>
      </c>
      <c r="C18">
        <v>355</v>
      </c>
      <c r="D18">
        <v>205</v>
      </c>
      <c r="E18">
        <v>0.2</v>
      </c>
      <c r="F18">
        <v>6000</v>
      </c>
      <c r="G18">
        <v>110</v>
      </c>
      <c r="H18">
        <f t="shared" si="25"/>
        <v>150</v>
      </c>
      <c r="I18">
        <v>8</v>
      </c>
      <c r="J18">
        <f t="shared" si="17"/>
        <v>13.75</v>
      </c>
      <c r="K18">
        <f t="shared" si="26"/>
        <v>0.28906822465146947</v>
      </c>
      <c r="L18">
        <f t="shared" si="27"/>
        <v>0.55000000000000004</v>
      </c>
      <c r="M18">
        <f t="shared" si="28"/>
        <v>6</v>
      </c>
      <c r="N18">
        <v>2.5</v>
      </c>
      <c r="O18">
        <f t="shared" si="29"/>
        <v>325</v>
      </c>
      <c r="P18">
        <f t="shared" si="30"/>
        <v>203400</v>
      </c>
      <c r="Q18">
        <f t="shared" si="31"/>
        <v>3520</v>
      </c>
      <c r="R18">
        <f t="shared" si="32"/>
        <v>804.24771931898704</v>
      </c>
      <c r="S18">
        <f t="shared" si="33"/>
        <v>4324.247719318987</v>
      </c>
      <c r="T18">
        <f t="shared" si="18"/>
        <v>14118333.707433984</v>
      </c>
      <c r="U18">
        <f t="shared" si="34"/>
        <v>57.139500414724267</v>
      </c>
      <c r="V18">
        <f t="shared" si="35"/>
        <v>105.00616835028997</v>
      </c>
      <c r="W18">
        <f t="shared" si="36"/>
        <v>1.3360759451118649</v>
      </c>
      <c r="X18">
        <f t="shared" si="37"/>
        <v>1405.3805087786709</v>
      </c>
      <c r="Y18">
        <v>629.6</v>
      </c>
      <c r="Z18">
        <f t="shared" si="38"/>
        <v>0.44799255153121936</v>
      </c>
      <c r="AA18" t="str">
        <f t="shared" si="39"/>
        <v>LC-M17</v>
      </c>
      <c r="AB18">
        <f t="shared" si="19"/>
        <v>490</v>
      </c>
      <c r="AC18">
        <f t="shared" si="41"/>
        <v>517.02058150931066</v>
      </c>
      <c r="AD18">
        <f t="shared" si="20"/>
        <v>519.7880493042129</v>
      </c>
      <c r="AE18">
        <f t="shared" si="21"/>
        <v>325.88344850615891</v>
      </c>
      <c r="AF18">
        <f t="shared" si="22"/>
        <v>473.25094511267991</v>
      </c>
      <c r="AG18">
        <f t="shared" si="40"/>
        <v>1524.610993272428</v>
      </c>
      <c r="AH18">
        <f t="shared" si="16"/>
        <v>0.41295779892589213</v>
      </c>
    </row>
    <row r="19" spans="1:34" x14ac:dyDescent="0.25">
      <c r="A19">
        <v>18</v>
      </c>
      <c r="B19" t="str">
        <f t="shared" si="0"/>
        <v>Q355+S205</v>
      </c>
      <c r="C19">
        <v>355</v>
      </c>
      <c r="D19">
        <v>205</v>
      </c>
      <c r="E19">
        <v>0.2</v>
      </c>
      <c r="F19">
        <v>7000</v>
      </c>
      <c r="G19">
        <v>110</v>
      </c>
      <c r="H19">
        <f t="shared" si="25"/>
        <v>150</v>
      </c>
      <c r="I19">
        <v>8</v>
      </c>
      <c r="J19">
        <f t="shared" si="17"/>
        <v>13.75</v>
      </c>
      <c r="K19">
        <f t="shared" si="26"/>
        <v>0.28906822465146947</v>
      </c>
      <c r="L19">
        <f t="shared" si="27"/>
        <v>0.55000000000000004</v>
      </c>
      <c r="M19">
        <f t="shared" si="28"/>
        <v>7</v>
      </c>
      <c r="N19">
        <v>2.5</v>
      </c>
      <c r="O19">
        <f t="shared" si="29"/>
        <v>325</v>
      </c>
      <c r="P19">
        <f t="shared" si="30"/>
        <v>203400</v>
      </c>
      <c r="Q19">
        <f t="shared" si="31"/>
        <v>3520</v>
      </c>
      <c r="R19">
        <f t="shared" si="32"/>
        <v>804.24771931898704</v>
      </c>
      <c r="S19">
        <f t="shared" si="33"/>
        <v>4324.247719318987</v>
      </c>
      <c r="T19">
        <f t="shared" si="18"/>
        <v>14118333.707433984</v>
      </c>
      <c r="U19">
        <f t="shared" si="34"/>
        <v>57.139500414724267</v>
      </c>
      <c r="V19">
        <f t="shared" si="35"/>
        <v>122.50719640867163</v>
      </c>
      <c r="W19">
        <f t="shared" si="36"/>
        <v>1.5587552692971756</v>
      </c>
      <c r="X19">
        <f t="shared" si="37"/>
        <v>1405.3805087786709</v>
      </c>
      <c r="Y19">
        <v>493</v>
      </c>
      <c r="Z19">
        <f t="shared" si="38"/>
        <v>0.3507946758336899</v>
      </c>
      <c r="AA19" t="str">
        <f t="shared" si="39"/>
        <v>LC-M18</v>
      </c>
      <c r="AB19">
        <f t="shared" si="19"/>
        <v>490</v>
      </c>
      <c r="AC19">
        <f t="shared" si="41"/>
        <v>517.02058150931066</v>
      </c>
      <c r="AD19">
        <f t="shared" si="20"/>
        <v>519.7880493042129</v>
      </c>
      <c r="AE19">
        <f t="shared" si="21"/>
        <v>325.88344850615891</v>
      </c>
      <c r="AF19">
        <f t="shared" si="22"/>
        <v>473.25094511267991</v>
      </c>
      <c r="AG19">
        <f t="shared" si="40"/>
        <v>1524.610993272428</v>
      </c>
      <c r="AH19">
        <f t="shared" si="16"/>
        <v>0.32336117355537614</v>
      </c>
    </row>
    <row r="20" spans="1:34" x14ac:dyDescent="0.25">
      <c r="A20">
        <v>19</v>
      </c>
      <c r="B20" t="str">
        <f t="shared" si="0"/>
        <v>Q355+S205</v>
      </c>
      <c r="C20">
        <v>355</v>
      </c>
      <c r="D20">
        <v>205</v>
      </c>
      <c r="E20">
        <v>0.2</v>
      </c>
      <c r="F20">
        <v>8000</v>
      </c>
      <c r="G20">
        <v>110</v>
      </c>
      <c r="H20">
        <f t="shared" si="25"/>
        <v>150</v>
      </c>
      <c r="I20">
        <v>8</v>
      </c>
      <c r="J20">
        <f t="shared" si="17"/>
        <v>13.75</v>
      </c>
      <c r="K20">
        <f t="shared" si="26"/>
        <v>0.28906822465146947</v>
      </c>
      <c r="L20">
        <f t="shared" si="27"/>
        <v>0.55000000000000004</v>
      </c>
      <c r="M20">
        <f t="shared" si="28"/>
        <v>8</v>
      </c>
      <c r="N20">
        <v>2.5</v>
      </c>
      <c r="O20">
        <f t="shared" si="29"/>
        <v>325</v>
      </c>
      <c r="P20">
        <f t="shared" si="30"/>
        <v>203400</v>
      </c>
      <c r="Q20">
        <f t="shared" si="31"/>
        <v>3520</v>
      </c>
      <c r="R20">
        <f t="shared" si="32"/>
        <v>804.24771931898704</v>
      </c>
      <c r="S20">
        <f t="shared" si="33"/>
        <v>4324.247719318987</v>
      </c>
      <c r="T20">
        <f t="shared" si="18"/>
        <v>14118333.707433984</v>
      </c>
      <c r="U20">
        <f t="shared" si="34"/>
        <v>57.139500414724267</v>
      </c>
      <c r="V20">
        <f t="shared" si="35"/>
        <v>140.00822446705328</v>
      </c>
      <c r="W20">
        <f t="shared" si="36"/>
        <v>1.7814345934824865</v>
      </c>
      <c r="X20">
        <f t="shared" si="37"/>
        <v>1405.3805087786709</v>
      </c>
      <c r="Y20">
        <v>390.3</v>
      </c>
      <c r="Z20">
        <f t="shared" si="38"/>
        <v>0.27771838129389281</v>
      </c>
      <c r="AA20" t="str">
        <f t="shared" si="39"/>
        <v>LC-M19</v>
      </c>
      <c r="AB20">
        <f t="shared" si="19"/>
        <v>490</v>
      </c>
      <c r="AC20">
        <f t="shared" si="41"/>
        <v>517.02058150931066</v>
      </c>
      <c r="AD20">
        <f t="shared" si="20"/>
        <v>519.7880493042129</v>
      </c>
      <c r="AE20">
        <f t="shared" si="21"/>
        <v>325.88344850615891</v>
      </c>
      <c r="AF20">
        <f t="shared" si="22"/>
        <v>473.25094511267991</v>
      </c>
      <c r="AG20">
        <f t="shared" si="40"/>
        <v>1524.610993272428</v>
      </c>
      <c r="AH20">
        <f t="shared" si="16"/>
        <v>0.25599972827315076</v>
      </c>
    </row>
    <row r="21" spans="1:34" x14ac:dyDescent="0.25">
      <c r="A21">
        <v>20</v>
      </c>
      <c r="B21" t="str">
        <f t="shared" si="0"/>
        <v>Q355+S205</v>
      </c>
      <c r="C21">
        <v>355</v>
      </c>
      <c r="D21">
        <v>205</v>
      </c>
      <c r="E21">
        <v>0.2</v>
      </c>
      <c r="F21">
        <v>9000</v>
      </c>
      <c r="G21">
        <v>110</v>
      </c>
      <c r="H21">
        <f t="shared" si="25"/>
        <v>150</v>
      </c>
      <c r="I21">
        <v>8</v>
      </c>
      <c r="J21">
        <f t="shared" si="17"/>
        <v>13.75</v>
      </c>
      <c r="K21">
        <f t="shared" si="26"/>
        <v>0.28906822465146947</v>
      </c>
      <c r="L21">
        <f t="shared" si="27"/>
        <v>0.55000000000000004</v>
      </c>
      <c r="M21">
        <f t="shared" si="28"/>
        <v>9</v>
      </c>
      <c r="N21">
        <v>2.5</v>
      </c>
      <c r="O21">
        <f t="shared" si="29"/>
        <v>325</v>
      </c>
      <c r="P21">
        <f t="shared" si="30"/>
        <v>203400</v>
      </c>
      <c r="Q21">
        <f t="shared" si="31"/>
        <v>3520</v>
      </c>
      <c r="R21">
        <f t="shared" si="32"/>
        <v>804.24771931898704</v>
      </c>
      <c r="S21">
        <f t="shared" si="33"/>
        <v>4324.247719318987</v>
      </c>
      <c r="T21">
        <f t="shared" si="18"/>
        <v>14118333.707433984</v>
      </c>
      <c r="U21">
        <f t="shared" si="34"/>
        <v>57.139500414724267</v>
      </c>
      <c r="V21">
        <f t="shared" si="35"/>
        <v>157.50925252543496</v>
      </c>
      <c r="W21">
        <f t="shared" si="36"/>
        <v>2.0041139176677971</v>
      </c>
      <c r="X21">
        <f t="shared" si="37"/>
        <v>1405.3805087786709</v>
      </c>
      <c r="Y21">
        <v>314.8</v>
      </c>
      <c r="Z21">
        <f t="shared" si="38"/>
        <v>0.22399627576560968</v>
      </c>
      <c r="AA21" t="str">
        <f t="shared" si="39"/>
        <v>LC-M20</v>
      </c>
      <c r="AB21">
        <f t="shared" si="19"/>
        <v>490</v>
      </c>
      <c r="AC21">
        <f t="shared" si="41"/>
        <v>517.02058150931066</v>
      </c>
      <c r="AD21">
        <f t="shared" si="20"/>
        <v>519.7880493042129</v>
      </c>
      <c r="AE21">
        <f t="shared" si="21"/>
        <v>325.88344850615891</v>
      </c>
      <c r="AF21">
        <f t="shared" si="22"/>
        <v>473.25094511267991</v>
      </c>
      <c r="AG21">
        <f t="shared" si="40"/>
        <v>1524.610993272428</v>
      </c>
      <c r="AH21">
        <f t="shared" si="16"/>
        <v>0.20647889946294606</v>
      </c>
    </row>
    <row r="22" spans="1:34" x14ac:dyDescent="0.25">
      <c r="A22">
        <v>21</v>
      </c>
      <c r="B22" t="str">
        <f t="shared" si="0"/>
        <v>Q355+S205</v>
      </c>
      <c r="C22">
        <v>355</v>
      </c>
      <c r="D22">
        <v>205</v>
      </c>
      <c r="E22">
        <v>0.2</v>
      </c>
      <c r="F22">
        <v>10000</v>
      </c>
      <c r="G22">
        <v>110</v>
      </c>
      <c r="H22">
        <f t="shared" si="25"/>
        <v>150</v>
      </c>
      <c r="I22">
        <v>8</v>
      </c>
      <c r="J22">
        <f t="shared" si="17"/>
        <v>13.75</v>
      </c>
      <c r="K22">
        <f t="shared" si="26"/>
        <v>0.28906822465146947</v>
      </c>
      <c r="L22">
        <f t="shared" si="27"/>
        <v>0.55000000000000004</v>
      </c>
      <c r="M22">
        <f t="shared" si="28"/>
        <v>10</v>
      </c>
      <c r="N22">
        <v>2.5</v>
      </c>
      <c r="O22">
        <f t="shared" si="29"/>
        <v>325</v>
      </c>
      <c r="P22">
        <f t="shared" si="30"/>
        <v>203400</v>
      </c>
      <c r="Q22">
        <f t="shared" si="31"/>
        <v>3520</v>
      </c>
      <c r="R22">
        <f t="shared" si="32"/>
        <v>804.24771931898704</v>
      </c>
      <c r="S22">
        <f t="shared" si="33"/>
        <v>4324.247719318987</v>
      </c>
      <c r="T22">
        <f t="shared" si="18"/>
        <v>14118333.707433984</v>
      </c>
      <c r="U22">
        <f t="shared" si="34"/>
        <v>57.139500414724267</v>
      </c>
      <c r="V22">
        <f t="shared" si="35"/>
        <v>175.01028058381661</v>
      </c>
      <c r="W22">
        <f t="shared" si="36"/>
        <v>2.226793241853108</v>
      </c>
      <c r="X22">
        <f t="shared" si="37"/>
        <v>1405.3805087786709</v>
      </c>
      <c r="Y22">
        <v>258.7</v>
      </c>
      <c r="Z22">
        <f t="shared" si="38"/>
        <v>0.18407826092936219</v>
      </c>
      <c r="AA22" t="str">
        <f t="shared" si="39"/>
        <v>LC-M21</v>
      </c>
      <c r="AB22">
        <f t="shared" si="19"/>
        <v>490</v>
      </c>
      <c r="AC22">
        <f t="shared" si="41"/>
        <v>517.02058150931066</v>
      </c>
      <c r="AD22">
        <f t="shared" si="20"/>
        <v>519.7880493042129</v>
      </c>
      <c r="AE22">
        <f t="shared" si="21"/>
        <v>325.88344850615891</v>
      </c>
      <c r="AF22">
        <f t="shared" si="22"/>
        <v>473.25094511267991</v>
      </c>
      <c r="AG22">
        <f t="shared" si="40"/>
        <v>1524.610993272428</v>
      </c>
      <c r="AH22">
        <f t="shared" si="16"/>
        <v>0.16968262798940326</v>
      </c>
    </row>
    <row r="23" spans="1:34" x14ac:dyDescent="0.25">
      <c r="A23">
        <v>22</v>
      </c>
      <c r="B23" t="str">
        <f t="shared" si="0"/>
        <v>Q355+S205</v>
      </c>
      <c r="C23">
        <v>355</v>
      </c>
      <c r="D23">
        <v>205</v>
      </c>
      <c r="E23">
        <v>0.2</v>
      </c>
      <c r="F23">
        <v>12000</v>
      </c>
      <c r="G23">
        <v>110</v>
      </c>
      <c r="H23">
        <f t="shared" si="25"/>
        <v>150</v>
      </c>
      <c r="I23">
        <v>8</v>
      </c>
      <c r="J23">
        <f t="shared" si="17"/>
        <v>13.75</v>
      </c>
      <c r="K23">
        <f t="shared" si="26"/>
        <v>0.28906822465146947</v>
      </c>
      <c r="L23">
        <f t="shared" si="27"/>
        <v>0.55000000000000004</v>
      </c>
      <c r="M23">
        <f t="shared" si="28"/>
        <v>12</v>
      </c>
      <c r="N23">
        <v>2.5</v>
      </c>
      <c r="O23">
        <f t="shared" si="29"/>
        <v>325</v>
      </c>
      <c r="P23">
        <f t="shared" si="30"/>
        <v>203400</v>
      </c>
      <c r="Q23">
        <f t="shared" si="31"/>
        <v>3520</v>
      </c>
      <c r="R23">
        <f t="shared" si="32"/>
        <v>804.24771931898704</v>
      </c>
      <c r="S23">
        <f t="shared" si="33"/>
        <v>4324.247719318987</v>
      </c>
      <c r="T23">
        <f t="shared" si="18"/>
        <v>14118333.707433984</v>
      </c>
      <c r="U23">
        <f t="shared" si="34"/>
        <v>57.139500414724267</v>
      </c>
      <c r="V23">
        <f t="shared" si="35"/>
        <v>210.01233670057994</v>
      </c>
      <c r="W23">
        <f t="shared" si="36"/>
        <v>2.6721518902237298</v>
      </c>
      <c r="X23">
        <f t="shared" si="37"/>
        <v>1405.3805087786709</v>
      </c>
      <c r="Y23">
        <v>183</v>
      </c>
      <c r="Z23">
        <f t="shared" si="38"/>
        <v>0.13021384518775911</v>
      </c>
      <c r="AA23" t="str">
        <f t="shared" si="39"/>
        <v>LC-M22</v>
      </c>
      <c r="AB23">
        <f t="shared" si="19"/>
        <v>490</v>
      </c>
      <c r="AC23">
        <f t="shared" si="41"/>
        <v>517.02058150931066</v>
      </c>
      <c r="AD23">
        <f t="shared" si="20"/>
        <v>519.7880493042129</v>
      </c>
      <c r="AE23">
        <f t="shared" si="21"/>
        <v>325.88344850615891</v>
      </c>
      <c r="AF23">
        <f t="shared" si="22"/>
        <v>473.25094511267991</v>
      </c>
      <c r="AG23">
        <f t="shared" si="40"/>
        <v>1524.610993272428</v>
      </c>
      <c r="AH23">
        <f t="shared" si="16"/>
        <v>0.12003061817572785</v>
      </c>
    </row>
    <row r="24" spans="1:34" s="4" customFormat="1" x14ac:dyDescent="0.25">
      <c r="A24">
        <v>23</v>
      </c>
      <c r="B24" s="4" t="str">
        <f t="shared" ref="B24:B34" si="42">"Q"&amp;C24&amp;"+"&amp;"S"&amp;D24</f>
        <v>Q460+S205</v>
      </c>
      <c r="C24" s="4">
        <v>460</v>
      </c>
      <c r="D24" s="4">
        <v>205</v>
      </c>
      <c r="E24" s="4">
        <v>0.2</v>
      </c>
      <c r="F24" s="4">
        <v>1000</v>
      </c>
      <c r="G24" s="4">
        <v>110</v>
      </c>
      <c r="H24" s="4">
        <f t="shared" ref="H24:H34" si="43">G24+2*I24*N24</f>
        <v>150</v>
      </c>
      <c r="I24" s="4">
        <v>8</v>
      </c>
      <c r="J24" s="4">
        <f t="shared" ref="J24:J34" si="44">G24/I24</f>
        <v>13.75</v>
      </c>
      <c r="K24" s="4">
        <f t="shared" ref="K24:K34" si="45">SQRT(12*(1-0.3^2)*J24^2*O24/(4*PI()^2*P24))</f>
        <v>0.32428012272292905</v>
      </c>
      <c r="L24" s="4">
        <f t="shared" ref="L24:L34" si="46">I24*J24/200</f>
        <v>0.55000000000000004</v>
      </c>
      <c r="M24" s="4">
        <f t="shared" ref="M24:M34" si="47">F24/1000</f>
        <v>1</v>
      </c>
      <c r="N24" s="4">
        <v>2.5</v>
      </c>
      <c r="O24" s="4">
        <f t="shared" ref="O24:O34" si="48">E24*D24+(1-E24)*C24</f>
        <v>409</v>
      </c>
      <c r="P24" s="4">
        <f t="shared" ref="P24:P34" si="49">193000*E24+(1-E24)*206000</f>
        <v>203400</v>
      </c>
      <c r="Q24" s="4">
        <f t="shared" ref="Q24:Q34" si="50">I24*J24*I24*4</f>
        <v>3520</v>
      </c>
      <c r="R24" s="4">
        <f t="shared" ref="R24:R34" si="51">PI()*(N24*I24)^2-PI()*((N24-1)*I24)^2</f>
        <v>804.24771931898704</v>
      </c>
      <c r="S24" s="4">
        <f t="shared" ref="S24:S34" si="52">Q24+R24</f>
        <v>4324.247719318987</v>
      </c>
      <c r="T24">
        <f t="shared" ref="T24:T34" si="53">1/12*I24*(I24*J24)^3*2+(1/12*(I24*J24)*I24^3+(I24*J24)*I24*(H24/2-I24/2)^2)*2+PI()/8*((N24*I24)^4-((N24-1)*I24)^4)*2+1/2*PI()*((N24*I24)^2-((N24-1)*I24)^2)*(-1*((4*((N24*I24)^3-((N24-1)*I24)^3))/(3*PI()*((N24*I24)^2-((N24-1)*I24)^2)))^2+1*((4*((N24*I24)^3-((N24-1)*I24)^3))/(3*PI()*((N24*I24)^2-((N24-1)*I24)^2))+I24*J24/2)^2)*2</f>
        <v>14118333.707433984</v>
      </c>
      <c r="U24" s="4">
        <f t="shared" ref="U24:U34" si="54">SQRT(T24/S24)</f>
        <v>57.139500414724267</v>
      </c>
      <c r="V24" s="4">
        <f t="shared" ref="V24:V34" si="55">F24/U24</f>
        <v>17.50102805838166</v>
      </c>
      <c r="W24" s="4">
        <f t="shared" ref="W24:W34" si="56">V24/PI()*SQRT(O24/P24)</f>
        <v>0.24980427600347954</v>
      </c>
      <c r="X24" s="4">
        <f t="shared" ref="X24:X34" si="57">S24*O24/1000</f>
        <v>1768.6173172014655</v>
      </c>
      <c r="Y24" s="4">
        <v>1791.6</v>
      </c>
      <c r="Z24" s="4">
        <f t="shared" ref="Z24:Z34" si="58">Y24/X24</f>
        <v>1.0129947177238434</v>
      </c>
      <c r="AA24" s="4" t="str">
        <f t="shared" ref="AA24:AA34" si="59">"LC-M"&amp;A24</f>
        <v>LC-M23</v>
      </c>
      <c r="AB24" s="4">
        <f t="shared" ref="AB24:AB34" si="60">IF(C24=235,360,IF(C24=355,490,560))</f>
        <v>560</v>
      </c>
      <c r="AC24" s="4">
        <f>D24/(0.2+185*D24/193000)</f>
        <v>517.02058150931066</v>
      </c>
      <c r="AD24" s="4">
        <f t="shared" ref="AD24:AD34" si="61">C24*(2.769*(AB24/C24)-0.581*(AB24/C24)^2-1.182)/((N24-1)^(0.314*(AB24/C24)-0.32))</f>
        <v>595.60242126349522</v>
      </c>
      <c r="AE24" s="4">
        <f t="shared" ref="AE24:AE34" si="62">1.673*D24/(N24-1)^0.126</f>
        <v>325.88344850615891</v>
      </c>
      <c r="AF24" s="4">
        <f t="shared" ref="AF24:AF34" si="63">AD24*(1-((2*N24*I24-E24*I24)/(2*N24*I24-I24)*E24))+AE24*((2*N24*I24-E24*I24)/(2*N24*I24-I24)*E24)</f>
        <v>530.86986780173447</v>
      </c>
      <c r="AG24" s="4">
        <f>(AF24*R24+O24*Q24)/1000</f>
        <v>1866.630880434717</v>
      </c>
      <c r="AH24" s="4">
        <f t="shared" ref="AH24:AH34" si="64">Y24/AG24</f>
        <v>0.95980411487822204</v>
      </c>
    </row>
    <row r="25" spans="1:34" x14ac:dyDescent="0.25">
      <c r="A25">
        <v>24</v>
      </c>
      <c r="B25" t="str">
        <f t="shared" si="42"/>
        <v>Q460+S205</v>
      </c>
      <c r="C25">
        <v>460</v>
      </c>
      <c r="D25">
        <v>205</v>
      </c>
      <c r="E25">
        <v>0.2</v>
      </c>
      <c r="F25">
        <v>2000</v>
      </c>
      <c r="G25">
        <v>110</v>
      </c>
      <c r="H25">
        <f t="shared" si="43"/>
        <v>150</v>
      </c>
      <c r="I25">
        <v>8</v>
      </c>
      <c r="J25">
        <f t="shared" si="44"/>
        <v>13.75</v>
      </c>
      <c r="K25">
        <f t="shared" si="45"/>
        <v>0.32428012272292905</v>
      </c>
      <c r="L25">
        <f t="shared" si="46"/>
        <v>0.55000000000000004</v>
      </c>
      <c r="M25">
        <f t="shared" si="47"/>
        <v>2</v>
      </c>
      <c r="N25">
        <v>2.5</v>
      </c>
      <c r="O25">
        <f t="shared" si="48"/>
        <v>409</v>
      </c>
      <c r="P25">
        <f t="shared" si="49"/>
        <v>203400</v>
      </c>
      <c r="Q25">
        <f t="shared" si="50"/>
        <v>3520</v>
      </c>
      <c r="R25">
        <f t="shared" si="51"/>
        <v>804.24771931898704</v>
      </c>
      <c r="S25">
        <f t="shared" si="52"/>
        <v>4324.247719318987</v>
      </c>
      <c r="T25">
        <f t="shared" si="53"/>
        <v>14118333.707433984</v>
      </c>
      <c r="U25">
        <f t="shared" si="54"/>
        <v>57.139500414724267</v>
      </c>
      <c r="V25">
        <f t="shared" si="55"/>
        <v>35.00205611676332</v>
      </c>
      <c r="W25">
        <f t="shared" si="56"/>
        <v>0.49960855200695908</v>
      </c>
      <c r="X25">
        <f t="shared" si="57"/>
        <v>1768.6173172014655</v>
      </c>
      <c r="Y25">
        <v>1520.2</v>
      </c>
      <c r="Z25">
        <f t="shared" si="58"/>
        <v>0.85954151031691617</v>
      </c>
      <c r="AA25" t="str">
        <f t="shared" si="59"/>
        <v>LC-M24</v>
      </c>
      <c r="AB25">
        <f t="shared" si="60"/>
        <v>560</v>
      </c>
      <c r="AC25">
        <f>D25/(0.2+185*D25/193000)</f>
        <v>517.02058150931066</v>
      </c>
      <c r="AD25">
        <f t="shared" si="61"/>
        <v>595.60242126349522</v>
      </c>
      <c r="AE25">
        <f t="shared" si="62"/>
        <v>325.88344850615891</v>
      </c>
      <c r="AF25">
        <f t="shared" si="63"/>
        <v>530.86986780173447</v>
      </c>
      <c r="AG25">
        <f t="shared" ref="AG25:AG34" si="65">(AF25*R25+O25*Q25)/1000</f>
        <v>1866.630880434717</v>
      </c>
      <c r="AH25">
        <f t="shared" si="64"/>
        <v>0.81440847032701125</v>
      </c>
    </row>
    <row r="26" spans="1:34" x14ac:dyDescent="0.25">
      <c r="A26">
        <v>25</v>
      </c>
      <c r="B26" t="str">
        <f t="shared" si="42"/>
        <v>Q460+S205</v>
      </c>
      <c r="C26">
        <v>460</v>
      </c>
      <c r="D26">
        <v>205</v>
      </c>
      <c r="E26">
        <v>0.2</v>
      </c>
      <c r="F26">
        <v>3000</v>
      </c>
      <c r="G26">
        <v>110</v>
      </c>
      <c r="H26">
        <f t="shared" si="43"/>
        <v>150</v>
      </c>
      <c r="I26">
        <v>8</v>
      </c>
      <c r="J26">
        <f t="shared" si="44"/>
        <v>13.75</v>
      </c>
      <c r="K26">
        <f t="shared" si="45"/>
        <v>0.32428012272292905</v>
      </c>
      <c r="L26">
        <f t="shared" si="46"/>
        <v>0.55000000000000004</v>
      </c>
      <c r="M26">
        <f t="shared" si="47"/>
        <v>3</v>
      </c>
      <c r="N26">
        <v>2.5</v>
      </c>
      <c r="O26">
        <f t="shared" si="48"/>
        <v>409</v>
      </c>
      <c r="P26">
        <f t="shared" si="49"/>
        <v>203400</v>
      </c>
      <c r="Q26">
        <f t="shared" si="50"/>
        <v>3520</v>
      </c>
      <c r="R26">
        <f t="shared" si="51"/>
        <v>804.24771931898704</v>
      </c>
      <c r="S26">
        <f t="shared" si="52"/>
        <v>4324.247719318987</v>
      </c>
      <c r="T26">
        <f t="shared" si="53"/>
        <v>14118333.707433984</v>
      </c>
      <c r="U26">
        <f t="shared" si="54"/>
        <v>57.139500414724267</v>
      </c>
      <c r="V26">
        <f t="shared" si="55"/>
        <v>52.503084175144984</v>
      </c>
      <c r="W26">
        <f t="shared" si="56"/>
        <v>0.74941282801043874</v>
      </c>
      <c r="X26">
        <f t="shared" si="57"/>
        <v>1768.6173172014655</v>
      </c>
      <c r="Y26">
        <v>1335.2</v>
      </c>
      <c r="Z26">
        <f t="shared" si="58"/>
        <v>0.75494002405943061</v>
      </c>
      <c r="AA26" t="str">
        <f t="shared" si="59"/>
        <v>LC-M25</v>
      </c>
      <c r="AB26">
        <f t="shared" si="60"/>
        <v>560</v>
      </c>
      <c r="AC26">
        <f>D26/(0.2+185*D26/193000)</f>
        <v>517.02058150931066</v>
      </c>
      <c r="AD26">
        <f t="shared" si="61"/>
        <v>595.60242126349522</v>
      </c>
      <c r="AE26">
        <f t="shared" si="62"/>
        <v>325.88344850615891</v>
      </c>
      <c r="AF26">
        <f t="shared" si="63"/>
        <v>530.86986780173447</v>
      </c>
      <c r="AG26">
        <f t="shared" si="65"/>
        <v>1866.630880434717</v>
      </c>
      <c r="AH26">
        <f t="shared" si="64"/>
        <v>0.7152994274310126</v>
      </c>
    </row>
    <row r="27" spans="1:34" x14ac:dyDescent="0.25">
      <c r="A27">
        <v>26</v>
      </c>
      <c r="B27" t="str">
        <f t="shared" si="42"/>
        <v>Q460+S205</v>
      </c>
      <c r="C27">
        <v>460</v>
      </c>
      <c r="D27">
        <v>205</v>
      </c>
      <c r="E27">
        <v>0.2</v>
      </c>
      <c r="F27">
        <v>4000</v>
      </c>
      <c r="G27">
        <v>110</v>
      </c>
      <c r="H27">
        <f t="shared" si="43"/>
        <v>150</v>
      </c>
      <c r="I27">
        <v>8</v>
      </c>
      <c r="J27">
        <f t="shared" si="44"/>
        <v>13.75</v>
      </c>
      <c r="K27">
        <f t="shared" si="45"/>
        <v>0.32428012272292905</v>
      </c>
      <c r="L27">
        <f t="shared" si="46"/>
        <v>0.55000000000000004</v>
      </c>
      <c r="M27">
        <f t="shared" si="47"/>
        <v>4</v>
      </c>
      <c r="N27">
        <v>2.5</v>
      </c>
      <c r="O27">
        <f t="shared" si="48"/>
        <v>409</v>
      </c>
      <c r="P27">
        <f t="shared" si="49"/>
        <v>203400</v>
      </c>
      <c r="Q27">
        <f t="shared" si="50"/>
        <v>3520</v>
      </c>
      <c r="R27">
        <f t="shared" si="51"/>
        <v>804.24771931898704</v>
      </c>
      <c r="S27">
        <f t="shared" si="52"/>
        <v>4324.247719318987</v>
      </c>
      <c r="T27">
        <f t="shared" si="53"/>
        <v>14118333.707433984</v>
      </c>
      <c r="U27">
        <f t="shared" si="54"/>
        <v>57.139500414724267</v>
      </c>
      <c r="V27">
        <f t="shared" si="55"/>
        <v>70.004112233526641</v>
      </c>
      <c r="W27">
        <f t="shared" si="56"/>
        <v>0.99921710401391817</v>
      </c>
      <c r="X27">
        <f t="shared" si="57"/>
        <v>1768.6173172014655</v>
      </c>
      <c r="Y27">
        <v>1136.8</v>
      </c>
      <c r="Z27">
        <f t="shared" si="58"/>
        <v>0.64276199771626774</v>
      </c>
      <c r="AA27" t="str">
        <f t="shared" si="59"/>
        <v>LC-M26</v>
      </c>
      <c r="AB27">
        <f t="shared" si="60"/>
        <v>560</v>
      </c>
      <c r="AC27">
        <f t="shared" ref="AC27:AC34" si="66">D27/(0.2+185*D27/193000)</f>
        <v>517.02058150931066</v>
      </c>
      <c r="AD27">
        <f t="shared" si="61"/>
        <v>595.60242126349522</v>
      </c>
      <c r="AE27">
        <f t="shared" si="62"/>
        <v>325.88344850615891</v>
      </c>
      <c r="AF27">
        <f t="shared" si="63"/>
        <v>530.86986780173447</v>
      </c>
      <c r="AG27">
        <f t="shared" si="65"/>
        <v>1866.630880434717</v>
      </c>
      <c r="AH27">
        <f t="shared" si="64"/>
        <v>0.60901167548200652</v>
      </c>
    </row>
    <row r="28" spans="1:34" x14ac:dyDescent="0.25">
      <c r="A28">
        <v>27</v>
      </c>
      <c r="B28" t="str">
        <f t="shared" si="42"/>
        <v>Q460+S205</v>
      </c>
      <c r="C28">
        <v>460</v>
      </c>
      <c r="D28">
        <v>205</v>
      </c>
      <c r="E28">
        <v>0.2</v>
      </c>
      <c r="F28">
        <v>5000</v>
      </c>
      <c r="G28">
        <v>110</v>
      </c>
      <c r="H28">
        <f t="shared" si="43"/>
        <v>150</v>
      </c>
      <c r="I28">
        <v>8</v>
      </c>
      <c r="J28">
        <f t="shared" si="44"/>
        <v>13.75</v>
      </c>
      <c r="K28">
        <f t="shared" si="45"/>
        <v>0.32428012272292905</v>
      </c>
      <c r="L28">
        <f t="shared" si="46"/>
        <v>0.55000000000000004</v>
      </c>
      <c r="M28">
        <f t="shared" si="47"/>
        <v>5</v>
      </c>
      <c r="N28">
        <v>2.5</v>
      </c>
      <c r="O28">
        <f t="shared" si="48"/>
        <v>409</v>
      </c>
      <c r="P28">
        <f t="shared" si="49"/>
        <v>203400</v>
      </c>
      <c r="Q28">
        <f t="shared" si="50"/>
        <v>3520</v>
      </c>
      <c r="R28">
        <f t="shared" si="51"/>
        <v>804.24771931898704</v>
      </c>
      <c r="S28">
        <f t="shared" si="52"/>
        <v>4324.247719318987</v>
      </c>
      <c r="T28">
        <f t="shared" si="53"/>
        <v>14118333.707433984</v>
      </c>
      <c r="U28">
        <f t="shared" si="54"/>
        <v>57.139500414724267</v>
      </c>
      <c r="V28">
        <f t="shared" si="55"/>
        <v>87.505140291908305</v>
      </c>
      <c r="W28">
        <f t="shared" si="56"/>
        <v>1.2490213800173977</v>
      </c>
      <c r="X28">
        <f t="shared" si="57"/>
        <v>1768.6173172014655</v>
      </c>
      <c r="Y28">
        <v>885.6</v>
      </c>
      <c r="Z28">
        <f t="shared" si="58"/>
        <v>0.50073014178177933</v>
      </c>
      <c r="AA28" t="str">
        <f t="shared" si="59"/>
        <v>LC-M27</v>
      </c>
      <c r="AB28">
        <f t="shared" si="60"/>
        <v>560</v>
      </c>
      <c r="AC28">
        <f t="shared" si="66"/>
        <v>517.02058150931066</v>
      </c>
      <c r="AD28">
        <f t="shared" si="61"/>
        <v>595.60242126349522</v>
      </c>
      <c r="AE28">
        <f t="shared" si="62"/>
        <v>325.88344850615891</v>
      </c>
      <c r="AF28">
        <f t="shared" si="63"/>
        <v>530.86986780173447</v>
      </c>
      <c r="AG28">
        <f t="shared" si="65"/>
        <v>1866.630880434717</v>
      </c>
      <c r="AH28">
        <f t="shared" si="64"/>
        <v>0.47443766696592626</v>
      </c>
    </row>
    <row r="29" spans="1:34" x14ac:dyDescent="0.25">
      <c r="A29">
        <v>28</v>
      </c>
      <c r="B29" t="str">
        <f t="shared" si="42"/>
        <v>Q460+S205</v>
      </c>
      <c r="C29">
        <v>460</v>
      </c>
      <c r="D29">
        <v>205</v>
      </c>
      <c r="E29">
        <v>0.2</v>
      </c>
      <c r="F29">
        <v>6000</v>
      </c>
      <c r="G29">
        <v>110</v>
      </c>
      <c r="H29">
        <f t="shared" si="43"/>
        <v>150</v>
      </c>
      <c r="I29">
        <v>8</v>
      </c>
      <c r="J29">
        <f t="shared" si="44"/>
        <v>13.75</v>
      </c>
      <c r="K29">
        <f t="shared" si="45"/>
        <v>0.32428012272292905</v>
      </c>
      <c r="L29">
        <f t="shared" si="46"/>
        <v>0.55000000000000004</v>
      </c>
      <c r="M29">
        <f t="shared" si="47"/>
        <v>6</v>
      </c>
      <c r="N29">
        <v>2.5</v>
      </c>
      <c r="O29">
        <f t="shared" si="48"/>
        <v>409</v>
      </c>
      <c r="P29">
        <f t="shared" si="49"/>
        <v>203400</v>
      </c>
      <c r="Q29">
        <f t="shared" si="50"/>
        <v>3520</v>
      </c>
      <c r="R29">
        <f t="shared" si="51"/>
        <v>804.24771931898704</v>
      </c>
      <c r="S29">
        <f t="shared" si="52"/>
        <v>4324.247719318987</v>
      </c>
      <c r="T29">
        <f t="shared" si="53"/>
        <v>14118333.707433984</v>
      </c>
      <c r="U29">
        <f t="shared" si="54"/>
        <v>57.139500414724267</v>
      </c>
      <c r="V29">
        <f t="shared" si="55"/>
        <v>105.00616835028997</v>
      </c>
      <c r="W29">
        <f t="shared" si="56"/>
        <v>1.4988256560208775</v>
      </c>
      <c r="X29">
        <f t="shared" si="57"/>
        <v>1768.6173172014655</v>
      </c>
      <c r="Y29">
        <v>671</v>
      </c>
      <c r="Z29">
        <f t="shared" si="58"/>
        <v>0.37939241772309612</v>
      </c>
      <c r="AA29" t="str">
        <f t="shared" si="59"/>
        <v>LC-M28</v>
      </c>
      <c r="AB29">
        <f t="shared" si="60"/>
        <v>560</v>
      </c>
      <c r="AC29">
        <f t="shared" si="66"/>
        <v>517.02058150931066</v>
      </c>
      <c r="AD29">
        <f t="shared" si="61"/>
        <v>595.60242126349522</v>
      </c>
      <c r="AE29">
        <f t="shared" si="62"/>
        <v>325.88344850615891</v>
      </c>
      <c r="AF29">
        <f t="shared" si="63"/>
        <v>530.86986780173447</v>
      </c>
      <c r="AG29">
        <f t="shared" si="65"/>
        <v>1866.630880434717</v>
      </c>
      <c r="AH29">
        <f t="shared" si="64"/>
        <v>0.3594711772065679</v>
      </c>
    </row>
    <row r="30" spans="1:34" x14ac:dyDescent="0.25">
      <c r="A30">
        <v>29</v>
      </c>
      <c r="B30" t="str">
        <f t="shared" si="42"/>
        <v>Q460+S205</v>
      </c>
      <c r="C30">
        <v>460</v>
      </c>
      <c r="D30">
        <v>205</v>
      </c>
      <c r="E30">
        <v>0.2</v>
      </c>
      <c r="F30">
        <v>7000</v>
      </c>
      <c r="G30">
        <v>110</v>
      </c>
      <c r="H30">
        <f t="shared" si="43"/>
        <v>150</v>
      </c>
      <c r="I30">
        <v>8</v>
      </c>
      <c r="J30">
        <f t="shared" si="44"/>
        <v>13.75</v>
      </c>
      <c r="K30">
        <f t="shared" si="45"/>
        <v>0.32428012272292905</v>
      </c>
      <c r="L30">
        <f t="shared" si="46"/>
        <v>0.55000000000000004</v>
      </c>
      <c r="M30">
        <f t="shared" si="47"/>
        <v>7</v>
      </c>
      <c r="N30">
        <v>2.5</v>
      </c>
      <c r="O30">
        <f t="shared" si="48"/>
        <v>409</v>
      </c>
      <c r="P30">
        <f t="shared" si="49"/>
        <v>203400</v>
      </c>
      <c r="Q30">
        <f t="shared" si="50"/>
        <v>3520</v>
      </c>
      <c r="R30">
        <f t="shared" si="51"/>
        <v>804.24771931898704</v>
      </c>
      <c r="S30">
        <f t="shared" si="52"/>
        <v>4324.247719318987</v>
      </c>
      <c r="T30">
        <f t="shared" si="53"/>
        <v>14118333.707433984</v>
      </c>
      <c r="U30">
        <f t="shared" si="54"/>
        <v>57.139500414724267</v>
      </c>
      <c r="V30">
        <f t="shared" si="55"/>
        <v>122.50719640867163</v>
      </c>
      <c r="W30">
        <f t="shared" si="56"/>
        <v>1.7486299320243568</v>
      </c>
      <c r="X30">
        <f t="shared" si="57"/>
        <v>1768.6173172014655</v>
      </c>
      <c r="Y30">
        <v>513.29999999999995</v>
      </c>
      <c r="Z30">
        <f t="shared" si="58"/>
        <v>0.29022671835658004</v>
      </c>
      <c r="AA30" t="str">
        <f t="shared" si="59"/>
        <v>LC-M29</v>
      </c>
      <c r="AB30">
        <f t="shared" si="60"/>
        <v>560</v>
      </c>
      <c r="AC30">
        <f t="shared" si="66"/>
        <v>517.02058150931066</v>
      </c>
      <c r="AD30">
        <f t="shared" si="61"/>
        <v>595.60242126349522</v>
      </c>
      <c r="AE30">
        <f t="shared" si="62"/>
        <v>325.88344850615891</v>
      </c>
      <c r="AF30">
        <f t="shared" si="63"/>
        <v>530.86986780173447</v>
      </c>
      <c r="AG30">
        <f t="shared" si="65"/>
        <v>1866.630880434717</v>
      </c>
      <c r="AH30">
        <f t="shared" si="64"/>
        <v>0.27498741469468146</v>
      </c>
    </row>
    <row r="31" spans="1:34" x14ac:dyDescent="0.25">
      <c r="A31">
        <v>30</v>
      </c>
      <c r="B31" t="str">
        <f t="shared" si="42"/>
        <v>Q460+S205</v>
      </c>
      <c r="C31">
        <v>460</v>
      </c>
      <c r="D31">
        <v>205</v>
      </c>
      <c r="E31">
        <v>0.2</v>
      </c>
      <c r="F31">
        <v>8000</v>
      </c>
      <c r="G31">
        <v>110</v>
      </c>
      <c r="H31">
        <f t="shared" si="43"/>
        <v>150</v>
      </c>
      <c r="I31">
        <v>8</v>
      </c>
      <c r="J31">
        <f t="shared" si="44"/>
        <v>13.75</v>
      </c>
      <c r="K31">
        <f t="shared" si="45"/>
        <v>0.32428012272292905</v>
      </c>
      <c r="L31">
        <f t="shared" si="46"/>
        <v>0.55000000000000004</v>
      </c>
      <c r="M31">
        <f t="shared" si="47"/>
        <v>8</v>
      </c>
      <c r="N31">
        <v>2.5</v>
      </c>
      <c r="O31">
        <f t="shared" si="48"/>
        <v>409</v>
      </c>
      <c r="P31">
        <f t="shared" si="49"/>
        <v>203400</v>
      </c>
      <c r="Q31">
        <f t="shared" si="50"/>
        <v>3520</v>
      </c>
      <c r="R31">
        <f t="shared" si="51"/>
        <v>804.24771931898704</v>
      </c>
      <c r="S31">
        <f t="shared" si="52"/>
        <v>4324.247719318987</v>
      </c>
      <c r="T31">
        <f t="shared" si="53"/>
        <v>14118333.707433984</v>
      </c>
      <c r="U31">
        <f t="shared" si="54"/>
        <v>57.139500414724267</v>
      </c>
      <c r="V31">
        <f t="shared" si="55"/>
        <v>140.00822446705328</v>
      </c>
      <c r="W31">
        <f t="shared" si="56"/>
        <v>1.9984342080278363</v>
      </c>
      <c r="X31">
        <f t="shared" si="57"/>
        <v>1768.6173172014655</v>
      </c>
      <c r="Y31">
        <v>402.2</v>
      </c>
      <c r="Z31">
        <f t="shared" si="58"/>
        <v>0.22740928525816581</v>
      </c>
      <c r="AA31" t="str">
        <f t="shared" si="59"/>
        <v>LC-M30</v>
      </c>
      <c r="AB31">
        <f t="shared" si="60"/>
        <v>560</v>
      </c>
      <c r="AC31">
        <f t="shared" si="66"/>
        <v>517.02058150931066</v>
      </c>
      <c r="AD31">
        <f t="shared" si="61"/>
        <v>595.60242126349522</v>
      </c>
      <c r="AE31">
        <f t="shared" si="62"/>
        <v>325.88344850615891</v>
      </c>
      <c r="AF31">
        <f t="shared" si="63"/>
        <v>530.86986780173447</v>
      </c>
      <c r="AG31">
        <f t="shared" si="65"/>
        <v>1866.630880434717</v>
      </c>
      <c r="AH31">
        <f t="shared" si="64"/>
        <v>0.21546841650146289</v>
      </c>
    </row>
    <row r="32" spans="1:34" x14ac:dyDescent="0.25">
      <c r="A32">
        <v>31</v>
      </c>
      <c r="B32" t="str">
        <f t="shared" si="42"/>
        <v>Q460+S205</v>
      </c>
      <c r="C32">
        <v>460</v>
      </c>
      <c r="D32">
        <v>205</v>
      </c>
      <c r="E32">
        <v>0.2</v>
      </c>
      <c r="F32">
        <v>9000</v>
      </c>
      <c r="G32">
        <v>110</v>
      </c>
      <c r="H32">
        <f t="shared" si="43"/>
        <v>150</v>
      </c>
      <c r="I32">
        <v>8</v>
      </c>
      <c r="J32">
        <f t="shared" si="44"/>
        <v>13.75</v>
      </c>
      <c r="K32">
        <f t="shared" si="45"/>
        <v>0.32428012272292905</v>
      </c>
      <c r="L32">
        <f t="shared" si="46"/>
        <v>0.55000000000000004</v>
      </c>
      <c r="M32">
        <f t="shared" si="47"/>
        <v>9</v>
      </c>
      <c r="N32">
        <v>2.5</v>
      </c>
      <c r="O32">
        <f t="shared" si="48"/>
        <v>409</v>
      </c>
      <c r="P32">
        <f t="shared" si="49"/>
        <v>203400</v>
      </c>
      <c r="Q32">
        <f t="shared" si="50"/>
        <v>3520</v>
      </c>
      <c r="R32">
        <f t="shared" si="51"/>
        <v>804.24771931898704</v>
      </c>
      <c r="S32">
        <f t="shared" si="52"/>
        <v>4324.247719318987</v>
      </c>
      <c r="T32">
        <f t="shared" si="53"/>
        <v>14118333.707433984</v>
      </c>
      <c r="U32">
        <f t="shared" si="54"/>
        <v>57.139500414724267</v>
      </c>
      <c r="V32">
        <f t="shared" si="55"/>
        <v>157.50925252543496</v>
      </c>
      <c r="W32">
        <f t="shared" si="56"/>
        <v>2.2482384840313161</v>
      </c>
      <c r="X32">
        <f t="shared" si="57"/>
        <v>1768.6173172014655</v>
      </c>
      <c r="Y32">
        <v>322.39999999999998</v>
      </c>
      <c r="Z32">
        <f t="shared" si="58"/>
        <v>0.18228929280763961</v>
      </c>
      <c r="AA32" t="str">
        <f t="shared" si="59"/>
        <v>LC-M31</v>
      </c>
      <c r="AB32">
        <f t="shared" si="60"/>
        <v>560</v>
      </c>
      <c r="AC32">
        <f t="shared" si="66"/>
        <v>517.02058150931066</v>
      </c>
      <c r="AD32">
        <f t="shared" si="61"/>
        <v>595.60242126349522</v>
      </c>
      <c r="AE32">
        <f t="shared" si="62"/>
        <v>325.88344850615891</v>
      </c>
      <c r="AF32">
        <f t="shared" si="63"/>
        <v>530.86986780173447</v>
      </c>
      <c r="AG32">
        <f t="shared" si="65"/>
        <v>1866.630880434717</v>
      </c>
      <c r="AH32">
        <f t="shared" si="64"/>
        <v>0.17271759691713484</v>
      </c>
    </row>
    <row r="33" spans="1:34" x14ac:dyDescent="0.25">
      <c r="A33">
        <v>32</v>
      </c>
      <c r="B33" t="str">
        <f t="shared" si="42"/>
        <v>Q460+S205</v>
      </c>
      <c r="C33">
        <v>460</v>
      </c>
      <c r="D33">
        <v>205</v>
      </c>
      <c r="E33">
        <v>0.2</v>
      </c>
      <c r="F33">
        <v>10000</v>
      </c>
      <c r="G33">
        <v>110</v>
      </c>
      <c r="H33">
        <f t="shared" si="43"/>
        <v>150</v>
      </c>
      <c r="I33">
        <v>8</v>
      </c>
      <c r="J33">
        <f t="shared" si="44"/>
        <v>13.75</v>
      </c>
      <c r="K33">
        <f t="shared" si="45"/>
        <v>0.32428012272292905</v>
      </c>
      <c r="L33">
        <f t="shared" si="46"/>
        <v>0.55000000000000004</v>
      </c>
      <c r="M33">
        <f t="shared" si="47"/>
        <v>10</v>
      </c>
      <c r="N33">
        <v>2.5</v>
      </c>
      <c r="O33">
        <f t="shared" si="48"/>
        <v>409</v>
      </c>
      <c r="P33">
        <f t="shared" si="49"/>
        <v>203400</v>
      </c>
      <c r="Q33">
        <f t="shared" si="50"/>
        <v>3520</v>
      </c>
      <c r="R33">
        <f t="shared" si="51"/>
        <v>804.24771931898704</v>
      </c>
      <c r="S33">
        <f t="shared" si="52"/>
        <v>4324.247719318987</v>
      </c>
      <c r="T33">
        <f t="shared" si="53"/>
        <v>14118333.707433984</v>
      </c>
      <c r="U33">
        <f t="shared" si="54"/>
        <v>57.139500414724267</v>
      </c>
      <c r="V33">
        <f t="shared" si="55"/>
        <v>175.01028058381661</v>
      </c>
      <c r="W33">
        <f t="shared" si="56"/>
        <v>2.4980427600347954</v>
      </c>
      <c r="X33">
        <f t="shared" si="57"/>
        <v>1768.6173172014655</v>
      </c>
      <c r="Y33">
        <v>263.8</v>
      </c>
      <c r="Z33">
        <f t="shared" si="58"/>
        <v>0.14915606526878206</v>
      </c>
      <c r="AA33" t="str">
        <f t="shared" si="59"/>
        <v>LC-M32</v>
      </c>
      <c r="AB33">
        <f t="shared" si="60"/>
        <v>560</v>
      </c>
      <c r="AC33">
        <f t="shared" si="66"/>
        <v>517.02058150931066</v>
      </c>
      <c r="AD33">
        <f t="shared" si="61"/>
        <v>595.60242126349522</v>
      </c>
      <c r="AE33">
        <f t="shared" si="62"/>
        <v>325.88344850615891</v>
      </c>
      <c r="AF33">
        <f t="shared" si="63"/>
        <v>530.86986780173447</v>
      </c>
      <c r="AG33">
        <f t="shared" si="65"/>
        <v>1866.630880434717</v>
      </c>
      <c r="AH33">
        <f t="shared" si="64"/>
        <v>0.14132413792413206</v>
      </c>
    </row>
    <row r="34" spans="1:34" x14ac:dyDescent="0.25">
      <c r="A34">
        <v>33</v>
      </c>
      <c r="B34" t="str">
        <f t="shared" si="42"/>
        <v>Q460+S205</v>
      </c>
      <c r="C34">
        <v>460</v>
      </c>
      <c r="D34">
        <v>205</v>
      </c>
      <c r="E34">
        <v>0.2</v>
      </c>
      <c r="F34">
        <v>12000</v>
      </c>
      <c r="G34">
        <v>110</v>
      </c>
      <c r="H34">
        <f t="shared" si="43"/>
        <v>150</v>
      </c>
      <c r="I34">
        <v>8</v>
      </c>
      <c r="J34">
        <f t="shared" si="44"/>
        <v>13.75</v>
      </c>
      <c r="K34">
        <f t="shared" si="45"/>
        <v>0.32428012272292905</v>
      </c>
      <c r="L34">
        <f t="shared" si="46"/>
        <v>0.55000000000000004</v>
      </c>
      <c r="M34">
        <f t="shared" si="47"/>
        <v>12</v>
      </c>
      <c r="N34">
        <v>2.5</v>
      </c>
      <c r="O34">
        <f t="shared" si="48"/>
        <v>409</v>
      </c>
      <c r="P34">
        <f t="shared" si="49"/>
        <v>203400</v>
      </c>
      <c r="Q34">
        <f t="shared" si="50"/>
        <v>3520</v>
      </c>
      <c r="R34">
        <f t="shared" si="51"/>
        <v>804.24771931898704</v>
      </c>
      <c r="S34">
        <f t="shared" si="52"/>
        <v>4324.247719318987</v>
      </c>
      <c r="T34">
        <f t="shared" si="53"/>
        <v>14118333.707433984</v>
      </c>
      <c r="U34">
        <f t="shared" si="54"/>
        <v>57.139500414724267</v>
      </c>
      <c r="V34">
        <f t="shared" si="55"/>
        <v>210.01233670057994</v>
      </c>
      <c r="W34">
        <f t="shared" si="56"/>
        <v>2.9976513120417549</v>
      </c>
      <c r="X34">
        <f t="shared" si="57"/>
        <v>1768.6173172014655</v>
      </c>
      <c r="Y34">
        <v>183.3</v>
      </c>
      <c r="Z34">
        <f t="shared" si="58"/>
        <v>0.10364028341079512</v>
      </c>
      <c r="AA34" t="str">
        <f t="shared" si="59"/>
        <v>LC-M33</v>
      </c>
      <c r="AB34">
        <f t="shared" si="60"/>
        <v>560</v>
      </c>
      <c r="AC34">
        <f t="shared" si="66"/>
        <v>517.02058150931066</v>
      </c>
      <c r="AD34">
        <f t="shared" si="61"/>
        <v>595.60242126349522</v>
      </c>
      <c r="AE34">
        <f t="shared" si="62"/>
        <v>325.88344850615891</v>
      </c>
      <c r="AF34">
        <f t="shared" si="63"/>
        <v>530.86986780173447</v>
      </c>
      <c r="AG34">
        <f t="shared" si="65"/>
        <v>1866.630880434717</v>
      </c>
      <c r="AH34">
        <f t="shared" si="64"/>
        <v>9.8198311150467801E-2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8A57B-DE4E-41B4-A59A-BE4E18CEC9B9}">
  <dimension ref="A1:AG100"/>
  <sheetViews>
    <sheetView topLeftCell="A43" zoomScale="55" zoomScaleNormal="55" workbookViewId="0">
      <selection activeCell="Q81" sqref="Q81"/>
    </sheetView>
  </sheetViews>
  <sheetFormatPr defaultRowHeight="13.8" x14ac:dyDescent="0.25"/>
  <sheetData>
    <row r="1" spans="1:33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30</v>
      </c>
      <c r="F1" s="1" t="s">
        <v>31</v>
      </c>
      <c r="G1" t="s">
        <v>4</v>
      </c>
      <c r="H1" s="4" t="s">
        <v>5</v>
      </c>
      <c r="I1" s="4" t="s">
        <v>6</v>
      </c>
      <c r="J1" s="6" t="s">
        <v>26</v>
      </c>
      <c r="K1" s="1" t="s">
        <v>25</v>
      </c>
      <c r="L1" s="1" t="s">
        <v>24</v>
      </c>
      <c r="M1" s="1" t="s">
        <v>22</v>
      </c>
      <c r="N1" t="s">
        <v>7</v>
      </c>
      <c r="O1" t="s">
        <v>8</v>
      </c>
      <c r="P1" t="s">
        <v>9</v>
      </c>
      <c r="Q1" t="s">
        <v>10</v>
      </c>
      <c r="R1" t="s">
        <v>11</v>
      </c>
      <c r="S1" t="s">
        <v>28</v>
      </c>
      <c r="T1" t="s">
        <v>23</v>
      </c>
      <c r="U1" t="s">
        <v>29</v>
      </c>
      <c r="V1" s="5" t="s">
        <v>27</v>
      </c>
      <c r="W1" s="2" t="s">
        <v>12</v>
      </c>
      <c r="X1" s="2" t="s">
        <v>13</v>
      </c>
      <c r="Y1" s="3" t="s">
        <v>14</v>
      </c>
      <c r="Z1" s="3" t="s">
        <v>32</v>
      </c>
      <c r="AA1" t="s">
        <v>15</v>
      </c>
      <c r="AB1" t="s">
        <v>16</v>
      </c>
      <c r="AC1" t="s">
        <v>17</v>
      </c>
      <c r="AD1" t="s">
        <v>18</v>
      </c>
      <c r="AE1" t="s">
        <v>19</v>
      </c>
      <c r="AF1" s="2" t="s">
        <v>20</v>
      </c>
      <c r="AG1" s="3" t="s">
        <v>21</v>
      </c>
    </row>
    <row r="2" spans="1:33" x14ac:dyDescent="0.25">
      <c r="A2">
        <v>1</v>
      </c>
      <c r="B2">
        <v>355</v>
      </c>
      <c r="C2">
        <v>205</v>
      </c>
      <c r="D2">
        <v>0.1</v>
      </c>
      <c r="E2">
        <v>1000</v>
      </c>
      <c r="F2">
        <v>110</v>
      </c>
      <c r="G2">
        <f>F2+2*H2*M2</f>
        <v>150</v>
      </c>
      <c r="H2">
        <v>8</v>
      </c>
      <c r="I2">
        <f t="shared" ref="I2:I55" si="0">F2/H2</f>
        <v>13.75</v>
      </c>
      <c r="J2">
        <f>SQRT(12*(1-0.3^2)*I2^2*N2/(4*PI()^2*O2))</f>
        <v>0.2947234458148324</v>
      </c>
      <c r="K2">
        <f>H2*I2/200</f>
        <v>0.55000000000000004</v>
      </c>
      <c r="L2">
        <f t="shared" ref="L2:L12" si="1">E2/1000</f>
        <v>1</v>
      </c>
      <c r="M2">
        <v>2.5</v>
      </c>
      <c r="N2">
        <f>D2*C2+(1-D2)*B2</f>
        <v>340</v>
      </c>
      <c r="O2">
        <f>193000*D2+(1-D2)*206000</f>
        <v>204700</v>
      </c>
      <c r="P2">
        <f>H2*I2*H2*4</f>
        <v>3520</v>
      </c>
      <c r="Q2">
        <f>PI()*(M2*H2)^2-PI()*((M2-1)*H2)^2</f>
        <v>804.24771931898704</v>
      </c>
      <c r="R2">
        <f>P2+Q2</f>
        <v>4324.247719318987</v>
      </c>
      <c r="S2">
        <f t="shared" ref="S2:S55" si="2">1/12*H2*(H2*I2)^3*2+(1/12*(H2*I2)*H2^3+(H2*I2)*H2*(G2/2-H2/2)^2)*2+PI()/8*((M2*H2)^4-((M2-1)*H2)^4)*2+1/2*PI()*((M2*H2)^2-((M2-1)*H2)^2)*(-1*((4*((M2*H2)^3-((M2-1)*H2)^3))/(3*PI()*((M2*H2)^2-((M2-1)*H2)^2)))^2+1*((4*((M2*H2)^3-((M2-1)*H2)^3))/(3*PI()*((M2*H2)^2-((M2-1)*H2)^2))+H2*I2/2)^2)*2</f>
        <v>14118333.707433984</v>
      </c>
      <c r="T2">
        <f>SQRT(S2/R2)</f>
        <v>57.139500414724267</v>
      </c>
      <c r="U2">
        <f>E2/T2</f>
        <v>17.50102805838166</v>
      </c>
      <c r="V2">
        <f>U2/PI()*SQRT(N2/O2)</f>
        <v>0.2270357380675162</v>
      </c>
      <c r="W2">
        <f>R2*N2/1000</f>
        <v>1470.2442245684556</v>
      </c>
      <c r="X2">
        <v>1547</v>
      </c>
      <c r="Y2">
        <f t="shared" ref="Y2:Y55" si="3">X2/W2</f>
        <v>1.0522061397344198</v>
      </c>
      <c r="Z2" t="str">
        <f t="shared" ref="Z2:Z45" si="4">"LC-B"&amp;A2</f>
        <v>LC-B1</v>
      </c>
      <c r="AA2">
        <f t="shared" ref="AA2:AA55" si="5">IF(B2=235,360,IF(B2=355,490,560))</f>
        <v>490</v>
      </c>
      <c r="AB2">
        <f>C2/(0.2+185*C2/193000)</f>
        <v>517.02058150931066</v>
      </c>
      <c r="AC2">
        <f t="shared" ref="AC2:AC55" si="6">B2*(2.769*(AA2/B2)-0.581*(AA2/B2)^2-1.182)/((M2-1)^(0.314*(AA2/B2)-0.32))</f>
        <v>519.7880493042129</v>
      </c>
      <c r="AD2">
        <f t="shared" ref="AD2:AD55" si="7">1.673*C2/(M2-1)^0.126</f>
        <v>325.88344850615891</v>
      </c>
      <c r="AE2">
        <f t="shared" ref="AE2:AE55" si="8">AC2*(1-((2*M2*H2-D2*H2)/(2*M2*H2-H2)*D2))+AD2*((2*M2*H2-D2*H2)/(2*M2*H2-H2)*D2)</f>
        <v>496.03473570645127</v>
      </c>
      <c r="AF2">
        <f>(AE2*Q2+N2*P2)/1000</f>
        <v>1595.73480489491</v>
      </c>
      <c r="AG2">
        <f t="shared" ref="AG2:AG54" si="9">X2/AF2</f>
        <v>0.96945933325173073</v>
      </c>
    </row>
    <row r="3" spans="1:33" x14ac:dyDescent="0.25">
      <c r="A3">
        <v>2</v>
      </c>
      <c r="B3">
        <v>355</v>
      </c>
      <c r="C3">
        <v>205</v>
      </c>
      <c r="D3">
        <v>0.1</v>
      </c>
      <c r="E3">
        <v>2000</v>
      </c>
      <c r="F3">
        <v>110</v>
      </c>
      <c r="G3">
        <f t="shared" ref="G3:G12" si="10">F3+2*H3*M3</f>
        <v>150</v>
      </c>
      <c r="H3">
        <v>8</v>
      </c>
      <c r="I3">
        <f t="shared" si="0"/>
        <v>13.75</v>
      </c>
      <c r="J3">
        <f>SQRT(12*(1-0.3^2)*I3^2*N3/(4*PI()^2*O3))</f>
        <v>0.2947234458148324</v>
      </c>
      <c r="K3">
        <f t="shared" ref="K3:K12" si="11">H3*I3/200</f>
        <v>0.55000000000000004</v>
      </c>
      <c r="L3">
        <f t="shared" si="1"/>
        <v>2</v>
      </c>
      <c r="M3">
        <v>2.5</v>
      </c>
      <c r="N3">
        <f t="shared" ref="N3:N12" si="12">D3*C3+(1-D3)*B3</f>
        <v>340</v>
      </c>
      <c r="O3">
        <f>193000*D3+(1-D3)*206000</f>
        <v>204700</v>
      </c>
      <c r="P3">
        <f>H3*I3*H3*4</f>
        <v>3520</v>
      </c>
      <c r="Q3">
        <f>PI()*(M3*H3)^2-PI()*((M3-1)*H3)^2</f>
        <v>804.24771931898704</v>
      </c>
      <c r="R3">
        <f t="shared" ref="R3:R12" si="13">P3+Q3</f>
        <v>4324.247719318987</v>
      </c>
      <c r="S3">
        <f t="shared" si="2"/>
        <v>14118333.707433984</v>
      </c>
      <c r="T3">
        <f t="shared" ref="T3:T12" si="14">SQRT(S3/R3)</f>
        <v>57.139500414724267</v>
      </c>
      <c r="U3">
        <f t="shared" ref="U3:U12" si="15">E3/T3</f>
        <v>35.00205611676332</v>
      </c>
      <c r="V3">
        <f t="shared" ref="V3:V12" si="16">U3/PI()*SQRT(N3/O3)</f>
        <v>0.4540714761350324</v>
      </c>
      <c r="W3">
        <f t="shared" ref="W3:W12" si="17">R3*N3/1000</f>
        <v>1470.2442245684556</v>
      </c>
      <c r="X3">
        <v>1307.4000000000001</v>
      </c>
      <c r="Y3">
        <f t="shared" si="3"/>
        <v>0.88924001751052395</v>
      </c>
      <c r="Z3" t="str">
        <f t="shared" si="4"/>
        <v>LC-B2</v>
      </c>
      <c r="AA3">
        <f t="shared" si="5"/>
        <v>490</v>
      </c>
      <c r="AB3">
        <f>C3/(0.2+185*C3/193000)</f>
        <v>517.02058150931066</v>
      </c>
      <c r="AC3">
        <f t="shared" si="6"/>
        <v>519.7880493042129</v>
      </c>
      <c r="AD3">
        <f t="shared" si="7"/>
        <v>325.88344850615891</v>
      </c>
      <c r="AE3">
        <f t="shared" si="8"/>
        <v>496.03473570645127</v>
      </c>
      <c r="AF3">
        <f t="shared" ref="AF3:AF10" si="18">(AE3*Q3+N3*P3)/1000</f>
        <v>1595.73480489491</v>
      </c>
      <c r="AG3">
        <f t="shared" si="9"/>
        <v>0.81930907064855385</v>
      </c>
    </row>
    <row r="4" spans="1:33" x14ac:dyDescent="0.25">
      <c r="A4">
        <v>3</v>
      </c>
      <c r="B4">
        <v>355</v>
      </c>
      <c r="C4">
        <v>205</v>
      </c>
      <c r="D4">
        <v>0.1</v>
      </c>
      <c r="E4">
        <v>3000</v>
      </c>
      <c r="F4">
        <v>110</v>
      </c>
      <c r="G4">
        <f t="shared" si="10"/>
        <v>150</v>
      </c>
      <c r="H4">
        <v>8</v>
      </c>
      <c r="I4">
        <f t="shared" si="0"/>
        <v>13.75</v>
      </c>
      <c r="J4">
        <f>SQRT(12*(1-0.3^2)*I4^2*N4/(4*PI()^2*O4))</f>
        <v>0.2947234458148324</v>
      </c>
      <c r="K4">
        <f t="shared" si="11"/>
        <v>0.55000000000000004</v>
      </c>
      <c r="L4">
        <f t="shared" si="1"/>
        <v>3</v>
      </c>
      <c r="M4">
        <v>2.5</v>
      </c>
      <c r="N4">
        <f t="shared" si="12"/>
        <v>340</v>
      </c>
      <c r="O4">
        <f>193000*D4+(1-D4)*206000</f>
        <v>204700</v>
      </c>
      <c r="P4">
        <f>H4*I4*H4*4</f>
        <v>3520</v>
      </c>
      <c r="Q4">
        <f>PI()*(M4*H4)^2-PI()*((M4-1)*H4)^2</f>
        <v>804.24771931898704</v>
      </c>
      <c r="R4">
        <f t="shared" si="13"/>
        <v>4324.247719318987</v>
      </c>
      <c r="S4">
        <f t="shared" si="2"/>
        <v>14118333.707433984</v>
      </c>
      <c r="T4">
        <f t="shared" si="14"/>
        <v>57.139500414724267</v>
      </c>
      <c r="U4">
        <f t="shared" si="15"/>
        <v>52.503084175144984</v>
      </c>
      <c r="V4">
        <f t="shared" si="16"/>
        <v>0.68110721420254861</v>
      </c>
      <c r="W4">
        <f t="shared" si="17"/>
        <v>1470.2442245684556</v>
      </c>
      <c r="X4">
        <v>1135.7</v>
      </c>
      <c r="Y4">
        <f t="shared" si="3"/>
        <v>0.77245669870483558</v>
      </c>
      <c r="Z4" t="str">
        <f t="shared" si="4"/>
        <v>LC-B3</v>
      </c>
      <c r="AA4">
        <f t="shared" si="5"/>
        <v>490</v>
      </c>
      <c r="AB4">
        <f>C4/(0.2+185*C4/193000)</f>
        <v>517.02058150931066</v>
      </c>
      <c r="AC4">
        <f t="shared" si="6"/>
        <v>519.7880493042129</v>
      </c>
      <c r="AD4">
        <f t="shared" si="7"/>
        <v>325.88344850615891</v>
      </c>
      <c r="AE4">
        <f t="shared" si="8"/>
        <v>496.03473570645127</v>
      </c>
      <c r="AF4">
        <f t="shared" si="18"/>
        <v>1595.73480489491</v>
      </c>
      <c r="AG4">
        <f t="shared" si="9"/>
        <v>0.71170973805687821</v>
      </c>
    </row>
    <row r="5" spans="1:33" x14ac:dyDescent="0.25">
      <c r="A5">
        <v>4</v>
      </c>
      <c r="B5">
        <v>355</v>
      </c>
      <c r="C5">
        <v>205</v>
      </c>
      <c r="D5">
        <v>0.1</v>
      </c>
      <c r="E5">
        <v>4000</v>
      </c>
      <c r="F5">
        <v>110</v>
      </c>
      <c r="G5">
        <f t="shared" si="10"/>
        <v>150</v>
      </c>
      <c r="H5">
        <v>8</v>
      </c>
      <c r="I5">
        <f t="shared" si="0"/>
        <v>13.75</v>
      </c>
      <c r="J5">
        <f t="shared" ref="J5:J12" si="19">SQRT(12*(1-0.3^2)*I5^2*N5/(4*PI()^2*O5))</f>
        <v>0.2947234458148324</v>
      </c>
      <c r="K5">
        <f t="shared" si="11"/>
        <v>0.55000000000000004</v>
      </c>
      <c r="L5">
        <f t="shared" si="1"/>
        <v>4</v>
      </c>
      <c r="M5">
        <v>2.5</v>
      </c>
      <c r="N5">
        <f t="shared" si="12"/>
        <v>340</v>
      </c>
      <c r="O5">
        <f t="shared" ref="O5:O12" si="20">193000*D5+(1-D5)*206000</f>
        <v>204700</v>
      </c>
      <c r="P5">
        <f t="shared" ref="P5:P12" si="21">H5*I5*H5*4</f>
        <v>3520</v>
      </c>
      <c r="Q5">
        <f t="shared" ref="Q5:Q12" si="22">PI()*(M5*H5)^2-PI()*((M5-1)*H5)^2</f>
        <v>804.24771931898704</v>
      </c>
      <c r="R5">
        <f t="shared" si="13"/>
        <v>4324.247719318987</v>
      </c>
      <c r="S5">
        <f t="shared" si="2"/>
        <v>14118333.707433984</v>
      </c>
      <c r="T5">
        <f t="shared" si="14"/>
        <v>57.139500414724267</v>
      </c>
      <c r="U5">
        <f t="shared" si="15"/>
        <v>70.004112233526641</v>
      </c>
      <c r="V5">
        <f t="shared" si="16"/>
        <v>0.90814295227006481</v>
      </c>
      <c r="W5">
        <f t="shared" si="17"/>
        <v>1470.2442245684556</v>
      </c>
      <c r="X5">
        <v>958.4</v>
      </c>
      <c r="Y5">
        <f t="shared" si="3"/>
        <v>0.65186448889558357</v>
      </c>
      <c r="Z5" t="str">
        <f t="shared" si="4"/>
        <v>LC-B4</v>
      </c>
      <c r="AA5">
        <f t="shared" si="5"/>
        <v>490</v>
      </c>
      <c r="AB5">
        <f t="shared" ref="AB5:AB10" si="23">C5/(0.2+185*C5/193000)</f>
        <v>517.02058150931066</v>
      </c>
      <c r="AC5">
        <f t="shared" si="6"/>
        <v>519.7880493042129</v>
      </c>
      <c r="AD5">
        <f t="shared" si="7"/>
        <v>325.88344850615891</v>
      </c>
      <c r="AE5">
        <f t="shared" si="8"/>
        <v>496.03473570645127</v>
      </c>
      <c r="AF5">
        <f t="shared" si="18"/>
        <v>1595.73480489491</v>
      </c>
      <c r="AG5">
        <f t="shared" si="9"/>
        <v>0.60060105041270762</v>
      </c>
    </row>
    <row r="6" spans="1:33" x14ac:dyDescent="0.25">
      <c r="A6">
        <v>5</v>
      </c>
      <c r="B6">
        <v>355</v>
      </c>
      <c r="C6">
        <v>205</v>
      </c>
      <c r="D6">
        <v>0.1</v>
      </c>
      <c r="E6">
        <v>5000</v>
      </c>
      <c r="F6">
        <v>110</v>
      </c>
      <c r="G6">
        <f t="shared" si="10"/>
        <v>150</v>
      </c>
      <c r="H6">
        <v>8</v>
      </c>
      <c r="I6">
        <f t="shared" si="0"/>
        <v>13.75</v>
      </c>
      <c r="J6">
        <f t="shared" si="19"/>
        <v>0.2947234458148324</v>
      </c>
      <c r="K6">
        <f t="shared" si="11"/>
        <v>0.55000000000000004</v>
      </c>
      <c r="L6">
        <f t="shared" si="1"/>
        <v>5</v>
      </c>
      <c r="M6">
        <v>2.5</v>
      </c>
      <c r="N6">
        <f t="shared" si="12"/>
        <v>340</v>
      </c>
      <c r="O6">
        <f t="shared" si="20"/>
        <v>204700</v>
      </c>
      <c r="P6">
        <f t="shared" si="21"/>
        <v>3520</v>
      </c>
      <c r="Q6">
        <f t="shared" si="22"/>
        <v>804.24771931898704</v>
      </c>
      <c r="R6">
        <f t="shared" si="13"/>
        <v>4324.247719318987</v>
      </c>
      <c r="S6">
        <f t="shared" si="2"/>
        <v>14118333.707433984</v>
      </c>
      <c r="T6">
        <f t="shared" si="14"/>
        <v>57.139500414724267</v>
      </c>
      <c r="U6">
        <f t="shared" si="15"/>
        <v>87.505140291908305</v>
      </c>
      <c r="V6">
        <f t="shared" si="16"/>
        <v>1.1351786903375809</v>
      </c>
      <c r="W6">
        <f t="shared" si="17"/>
        <v>1470.2442245684556</v>
      </c>
      <c r="X6">
        <v>795.4</v>
      </c>
      <c r="Y6">
        <f t="shared" si="3"/>
        <v>0.54099855432757427</v>
      </c>
      <c r="Z6" t="str">
        <f t="shared" si="4"/>
        <v>LC-B5</v>
      </c>
      <c r="AA6">
        <f t="shared" si="5"/>
        <v>490</v>
      </c>
      <c r="AB6">
        <f t="shared" si="23"/>
        <v>517.02058150931066</v>
      </c>
      <c r="AC6">
        <f t="shared" si="6"/>
        <v>519.7880493042129</v>
      </c>
      <c r="AD6">
        <f t="shared" si="7"/>
        <v>325.88344850615891</v>
      </c>
      <c r="AE6">
        <f t="shared" si="8"/>
        <v>496.03473570645127</v>
      </c>
      <c r="AF6">
        <f t="shared" si="18"/>
        <v>1595.73480489491</v>
      </c>
      <c r="AG6">
        <f t="shared" si="9"/>
        <v>0.49845375156330096</v>
      </c>
    </row>
    <row r="7" spans="1:33" x14ac:dyDescent="0.25">
      <c r="A7">
        <v>6</v>
      </c>
      <c r="B7">
        <v>355</v>
      </c>
      <c r="C7">
        <v>205</v>
      </c>
      <c r="D7">
        <v>0.1</v>
      </c>
      <c r="E7">
        <v>6000</v>
      </c>
      <c r="F7">
        <v>110</v>
      </c>
      <c r="G7">
        <f t="shared" si="10"/>
        <v>150</v>
      </c>
      <c r="H7">
        <v>8</v>
      </c>
      <c r="I7">
        <f t="shared" si="0"/>
        <v>13.75</v>
      </c>
      <c r="J7">
        <f t="shared" si="19"/>
        <v>0.2947234458148324</v>
      </c>
      <c r="K7">
        <f t="shared" si="11"/>
        <v>0.55000000000000004</v>
      </c>
      <c r="L7">
        <f t="shared" si="1"/>
        <v>6</v>
      </c>
      <c r="M7">
        <v>2.5</v>
      </c>
      <c r="N7">
        <f t="shared" si="12"/>
        <v>340</v>
      </c>
      <c r="O7">
        <f t="shared" si="20"/>
        <v>204700</v>
      </c>
      <c r="P7">
        <f t="shared" si="21"/>
        <v>3520</v>
      </c>
      <c r="Q7">
        <f t="shared" si="22"/>
        <v>804.24771931898704</v>
      </c>
      <c r="R7">
        <f t="shared" si="13"/>
        <v>4324.247719318987</v>
      </c>
      <c r="S7">
        <f t="shared" si="2"/>
        <v>14118333.707433984</v>
      </c>
      <c r="T7">
        <f t="shared" si="14"/>
        <v>57.139500414724267</v>
      </c>
      <c r="U7">
        <f t="shared" si="15"/>
        <v>105.00616835028997</v>
      </c>
      <c r="V7">
        <f t="shared" si="16"/>
        <v>1.3622144284050972</v>
      </c>
      <c r="W7">
        <f t="shared" si="17"/>
        <v>1470.2442245684556</v>
      </c>
      <c r="X7">
        <v>627</v>
      </c>
      <c r="Y7">
        <f t="shared" si="3"/>
        <v>0.4264597605775573</v>
      </c>
      <c r="Z7" t="str">
        <f t="shared" si="4"/>
        <v>LC-B6</v>
      </c>
      <c r="AA7">
        <f t="shared" si="5"/>
        <v>490</v>
      </c>
      <c r="AB7">
        <f t="shared" si="23"/>
        <v>517.02058150931066</v>
      </c>
      <c r="AC7">
        <f t="shared" si="6"/>
        <v>519.7880493042129</v>
      </c>
      <c r="AD7">
        <f t="shared" si="7"/>
        <v>325.88344850615891</v>
      </c>
      <c r="AE7">
        <f t="shared" si="8"/>
        <v>496.03473570645127</v>
      </c>
      <c r="AF7">
        <f t="shared" si="18"/>
        <v>1595.73480489491</v>
      </c>
      <c r="AG7">
        <f t="shared" si="9"/>
        <v>0.39292243177041702</v>
      </c>
    </row>
    <row r="8" spans="1:33" x14ac:dyDescent="0.25">
      <c r="A8">
        <v>7</v>
      </c>
      <c r="B8">
        <v>355</v>
      </c>
      <c r="C8">
        <v>205</v>
      </c>
      <c r="D8">
        <v>0.1</v>
      </c>
      <c r="E8">
        <v>7000</v>
      </c>
      <c r="F8">
        <v>110</v>
      </c>
      <c r="G8">
        <f t="shared" si="10"/>
        <v>150</v>
      </c>
      <c r="H8">
        <v>8</v>
      </c>
      <c r="I8">
        <f t="shared" si="0"/>
        <v>13.75</v>
      </c>
      <c r="J8">
        <f t="shared" si="19"/>
        <v>0.2947234458148324</v>
      </c>
      <c r="K8">
        <f t="shared" si="11"/>
        <v>0.55000000000000004</v>
      </c>
      <c r="L8">
        <f t="shared" si="1"/>
        <v>7</v>
      </c>
      <c r="M8">
        <v>2.5</v>
      </c>
      <c r="N8">
        <f t="shared" si="12"/>
        <v>340</v>
      </c>
      <c r="O8">
        <f t="shared" si="20"/>
        <v>204700</v>
      </c>
      <c r="P8">
        <f t="shared" si="21"/>
        <v>3520</v>
      </c>
      <c r="Q8">
        <f t="shared" si="22"/>
        <v>804.24771931898704</v>
      </c>
      <c r="R8">
        <f t="shared" si="13"/>
        <v>4324.247719318987</v>
      </c>
      <c r="S8">
        <f t="shared" si="2"/>
        <v>14118333.707433984</v>
      </c>
      <c r="T8">
        <f t="shared" si="14"/>
        <v>57.139500414724267</v>
      </c>
      <c r="U8">
        <f t="shared" si="15"/>
        <v>122.50719640867163</v>
      </c>
      <c r="V8">
        <f t="shared" si="16"/>
        <v>1.5892501664726133</v>
      </c>
      <c r="W8">
        <f t="shared" si="17"/>
        <v>1470.2442245684556</v>
      </c>
      <c r="X8">
        <v>493.2</v>
      </c>
      <c r="Y8">
        <f t="shared" si="3"/>
        <v>0.33545447195670058</v>
      </c>
      <c r="Z8" t="str">
        <f t="shared" si="4"/>
        <v>LC-B7</v>
      </c>
      <c r="AA8">
        <f t="shared" si="5"/>
        <v>490</v>
      </c>
      <c r="AB8">
        <f t="shared" si="23"/>
        <v>517.02058150931066</v>
      </c>
      <c r="AC8">
        <f t="shared" si="6"/>
        <v>519.7880493042129</v>
      </c>
      <c r="AD8">
        <f t="shared" si="7"/>
        <v>325.88344850615891</v>
      </c>
      <c r="AE8">
        <f t="shared" si="8"/>
        <v>496.03473570645127</v>
      </c>
      <c r="AF8">
        <f t="shared" si="18"/>
        <v>1595.73480489491</v>
      </c>
      <c r="AG8">
        <f t="shared" si="9"/>
        <v>0.30907391283759117</v>
      </c>
    </row>
    <row r="9" spans="1:33" x14ac:dyDescent="0.25">
      <c r="A9">
        <v>8</v>
      </c>
      <c r="B9">
        <v>355</v>
      </c>
      <c r="C9">
        <v>205</v>
      </c>
      <c r="D9">
        <v>0.1</v>
      </c>
      <c r="E9">
        <v>8000</v>
      </c>
      <c r="F9">
        <v>110</v>
      </c>
      <c r="G9">
        <f t="shared" si="10"/>
        <v>150</v>
      </c>
      <c r="H9">
        <v>8</v>
      </c>
      <c r="I9">
        <f t="shared" si="0"/>
        <v>13.75</v>
      </c>
      <c r="J9">
        <f t="shared" si="19"/>
        <v>0.2947234458148324</v>
      </c>
      <c r="K9">
        <f t="shared" si="11"/>
        <v>0.55000000000000004</v>
      </c>
      <c r="L9">
        <f t="shared" si="1"/>
        <v>8</v>
      </c>
      <c r="M9">
        <v>2.5</v>
      </c>
      <c r="N9">
        <f t="shared" si="12"/>
        <v>340</v>
      </c>
      <c r="O9">
        <f t="shared" si="20"/>
        <v>204700</v>
      </c>
      <c r="P9">
        <f t="shared" si="21"/>
        <v>3520</v>
      </c>
      <c r="Q9">
        <f t="shared" si="22"/>
        <v>804.24771931898704</v>
      </c>
      <c r="R9">
        <f t="shared" si="13"/>
        <v>4324.247719318987</v>
      </c>
      <c r="S9">
        <f t="shared" si="2"/>
        <v>14118333.707433984</v>
      </c>
      <c r="T9">
        <f t="shared" si="14"/>
        <v>57.139500414724267</v>
      </c>
      <c r="U9">
        <f t="shared" si="15"/>
        <v>140.00822446705328</v>
      </c>
      <c r="V9">
        <f t="shared" si="16"/>
        <v>1.8162859045401296</v>
      </c>
      <c r="W9">
        <f t="shared" si="17"/>
        <v>1470.2442245684556</v>
      </c>
      <c r="X9">
        <v>390.9</v>
      </c>
      <c r="Y9">
        <f t="shared" si="3"/>
        <v>0.26587419523088862</v>
      </c>
      <c r="Z9" t="str">
        <f t="shared" si="4"/>
        <v>LC-B8</v>
      </c>
      <c r="AA9">
        <f t="shared" si="5"/>
        <v>490</v>
      </c>
      <c r="AB9">
        <f t="shared" si="23"/>
        <v>517.02058150931066</v>
      </c>
      <c r="AC9">
        <f t="shared" si="6"/>
        <v>519.7880493042129</v>
      </c>
      <c r="AD9">
        <f t="shared" si="7"/>
        <v>325.88344850615891</v>
      </c>
      <c r="AE9">
        <f t="shared" si="8"/>
        <v>496.03473570645127</v>
      </c>
      <c r="AF9">
        <f t="shared" si="18"/>
        <v>1595.73480489491</v>
      </c>
      <c r="AG9">
        <f t="shared" si="9"/>
        <v>0.24496551607504946</v>
      </c>
    </row>
    <row r="10" spans="1:33" x14ac:dyDescent="0.25">
      <c r="A10">
        <v>9</v>
      </c>
      <c r="B10">
        <v>355</v>
      </c>
      <c r="C10">
        <v>205</v>
      </c>
      <c r="D10">
        <v>0.1</v>
      </c>
      <c r="E10">
        <v>9000</v>
      </c>
      <c r="F10">
        <v>110</v>
      </c>
      <c r="G10">
        <f t="shared" si="10"/>
        <v>150</v>
      </c>
      <c r="H10">
        <v>8</v>
      </c>
      <c r="I10">
        <f t="shared" si="0"/>
        <v>13.75</v>
      </c>
      <c r="J10">
        <f t="shared" si="19"/>
        <v>0.2947234458148324</v>
      </c>
      <c r="K10">
        <f t="shared" si="11"/>
        <v>0.55000000000000004</v>
      </c>
      <c r="L10">
        <f t="shared" si="1"/>
        <v>9</v>
      </c>
      <c r="M10">
        <v>2.5</v>
      </c>
      <c r="N10">
        <f t="shared" si="12"/>
        <v>340</v>
      </c>
      <c r="O10">
        <f t="shared" si="20"/>
        <v>204700</v>
      </c>
      <c r="P10">
        <f t="shared" si="21"/>
        <v>3520</v>
      </c>
      <c r="Q10">
        <f t="shared" si="22"/>
        <v>804.24771931898704</v>
      </c>
      <c r="R10">
        <f t="shared" si="13"/>
        <v>4324.247719318987</v>
      </c>
      <c r="S10">
        <f t="shared" si="2"/>
        <v>14118333.707433984</v>
      </c>
      <c r="T10">
        <f t="shared" si="14"/>
        <v>57.139500414724267</v>
      </c>
      <c r="U10">
        <f t="shared" si="15"/>
        <v>157.50925252543496</v>
      </c>
      <c r="V10">
        <f t="shared" si="16"/>
        <v>2.0433216426076459</v>
      </c>
      <c r="W10">
        <f t="shared" si="17"/>
        <v>1470.2442245684556</v>
      </c>
      <c r="X10">
        <v>315.8</v>
      </c>
      <c r="Y10">
        <f t="shared" si="3"/>
        <v>0.21479424623667082</v>
      </c>
      <c r="Z10" t="str">
        <f t="shared" si="4"/>
        <v>LC-B9</v>
      </c>
      <c r="AA10">
        <f t="shared" si="5"/>
        <v>490</v>
      </c>
      <c r="AB10">
        <f t="shared" si="23"/>
        <v>517.02058150931066</v>
      </c>
      <c r="AC10">
        <f t="shared" si="6"/>
        <v>519.7880493042129</v>
      </c>
      <c r="AD10">
        <f t="shared" si="7"/>
        <v>325.88344850615891</v>
      </c>
      <c r="AE10">
        <f t="shared" si="8"/>
        <v>496.03473570645127</v>
      </c>
      <c r="AF10">
        <f t="shared" si="18"/>
        <v>1595.73480489491</v>
      </c>
      <c r="AG10">
        <f t="shared" si="9"/>
        <v>0.1979025581389118</v>
      </c>
    </row>
    <row r="11" spans="1:33" x14ac:dyDescent="0.25">
      <c r="A11">
        <v>10</v>
      </c>
      <c r="B11">
        <v>355</v>
      </c>
      <c r="C11">
        <v>205</v>
      </c>
      <c r="D11">
        <v>0.1</v>
      </c>
      <c r="E11">
        <v>10000</v>
      </c>
      <c r="F11">
        <v>110</v>
      </c>
      <c r="G11">
        <f t="shared" si="10"/>
        <v>150</v>
      </c>
      <c r="H11">
        <v>8</v>
      </c>
      <c r="I11">
        <f t="shared" si="0"/>
        <v>13.75</v>
      </c>
      <c r="J11">
        <f t="shared" si="19"/>
        <v>0.2947234458148324</v>
      </c>
      <c r="K11">
        <f t="shared" si="11"/>
        <v>0.55000000000000004</v>
      </c>
      <c r="L11">
        <f t="shared" si="1"/>
        <v>10</v>
      </c>
      <c r="M11">
        <v>2.5</v>
      </c>
      <c r="N11">
        <f t="shared" si="12"/>
        <v>340</v>
      </c>
      <c r="O11">
        <f t="shared" si="20"/>
        <v>204700</v>
      </c>
      <c r="P11">
        <f t="shared" si="21"/>
        <v>3520</v>
      </c>
      <c r="Q11">
        <f t="shared" si="22"/>
        <v>804.24771931898704</v>
      </c>
      <c r="R11">
        <f t="shared" si="13"/>
        <v>4324.247719318987</v>
      </c>
      <c r="S11">
        <f t="shared" si="2"/>
        <v>14118333.707433984</v>
      </c>
      <c r="T11">
        <f t="shared" si="14"/>
        <v>57.139500414724267</v>
      </c>
      <c r="U11">
        <f t="shared" si="15"/>
        <v>175.01028058381661</v>
      </c>
      <c r="V11">
        <f t="shared" si="16"/>
        <v>2.2703573806751618</v>
      </c>
      <c r="W11">
        <f t="shared" si="17"/>
        <v>1470.2442245684556</v>
      </c>
      <c r="X11">
        <v>259.60000000000002</v>
      </c>
      <c r="Y11">
        <f t="shared" si="3"/>
        <v>0.1765693043794799</v>
      </c>
      <c r="Z11" t="str">
        <f t="shared" si="4"/>
        <v>LC-B10</v>
      </c>
      <c r="AA11">
        <f t="shared" si="5"/>
        <v>490</v>
      </c>
      <c r="AB11">
        <f>C11/(0.2+185*C11/193000)</f>
        <v>517.02058150931066</v>
      </c>
      <c r="AC11">
        <f t="shared" si="6"/>
        <v>519.7880493042129</v>
      </c>
      <c r="AD11">
        <f t="shared" si="7"/>
        <v>325.88344850615891</v>
      </c>
      <c r="AE11">
        <f t="shared" si="8"/>
        <v>496.03473570645127</v>
      </c>
      <c r="AF11">
        <f>(AE11*Q11+N11*P11)/1000</f>
        <v>1595.73480489491</v>
      </c>
      <c r="AG11">
        <f t="shared" si="9"/>
        <v>0.16268367350494461</v>
      </c>
    </row>
    <row r="12" spans="1:33" x14ac:dyDescent="0.25">
      <c r="A12">
        <v>11</v>
      </c>
      <c r="B12">
        <v>355</v>
      </c>
      <c r="C12">
        <v>205</v>
      </c>
      <c r="D12">
        <v>0.1</v>
      </c>
      <c r="E12">
        <v>12000</v>
      </c>
      <c r="F12">
        <v>110</v>
      </c>
      <c r="G12">
        <f t="shared" si="10"/>
        <v>150</v>
      </c>
      <c r="H12">
        <v>8</v>
      </c>
      <c r="I12">
        <f t="shared" si="0"/>
        <v>13.75</v>
      </c>
      <c r="J12">
        <f t="shared" si="19"/>
        <v>0.2947234458148324</v>
      </c>
      <c r="K12">
        <f t="shared" si="11"/>
        <v>0.55000000000000004</v>
      </c>
      <c r="L12">
        <f t="shared" si="1"/>
        <v>12</v>
      </c>
      <c r="M12">
        <v>2.5</v>
      </c>
      <c r="N12">
        <f t="shared" si="12"/>
        <v>340</v>
      </c>
      <c r="O12">
        <f t="shared" si="20"/>
        <v>204700</v>
      </c>
      <c r="P12">
        <f t="shared" si="21"/>
        <v>3520</v>
      </c>
      <c r="Q12">
        <f t="shared" si="22"/>
        <v>804.24771931898704</v>
      </c>
      <c r="R12">
        <f t="shared" si="13"/>
        <v>4324.247719318987</v>
      </c>
      <c r="S12">
        <f t="shared" si="2"/>
        <v>14118333.707433984</v>
      </c>
      <c r="T12">
        <f t="shared" si="14"/>
        <v>57.139500414724267</v>
      </c>
      <c r="U12">
        <f t="shared" si="15"/>
        <v>210.01233670057994</v>
      </c>
      <c r="V12">
        <f t="shared" si="16"/>
        <v>2.7244288568101944</v>
      </c>
      <c r="W12">
        <f t="shared" si="17"/>
        <v>1470.2442245684556</v>
      </c>
      <c r="X12">
        <v>183.7</v>
      </c>
      <c r="Y12">
        <f t="shared" si="3"/>
        <v>0.12494522809903871</v>
      </c>
      <c r="Z12" t="str">
        <f t="shared" si="4"/>
        <v>LC-B11</v>
      </c>
      <c r="AA12">
        <f t="shared" si="5"/>
        <v>490</v>
      </c>
      <c r="AB12">
        <f>C12/(0.2+185*C12/193000)</f>
        <v>517.02058150931066</v>
      </c>
      <c r="AC12">
        <f t="shared" si="6"/>
        <v>519.7880493042129</v>
      </c>
      <c r="AD12">
        <f t="shared" si="7"/>
        <v>325.88344850615891</v>
      </c>
      <c r="AE12">
        <f t="shared" si="8"/>
        <v>496.03473570645127</v>
      </c>
      <c r="AF12">
        <f t="shared" ref="AF12:AF19" si="24">(AE12*Q12+N12*P12)/1000</f>
        <v>1595.73480489491</v>
      </c>
      <c r="AG12">
        <f t="shared" si="9"/>
        <v>0.1151193791327362</v>
      </c>
    </row>
    <row r="13" spans="1:33" x14ac:dyDescent="0.25">
      <c r="A13">
        <v>12</v>
      </c>
      <c r="B13">
        <v>355</v>
      </c>
      <c r="C13">
        <v>205</v>
      </c>
      <c r="D13">
        <v>0.2</v>
      </c>
      <c r="E13">
        <v>1000</v>
      </c>
      <c r="F13">
        <v>110</v>
      </c>
      <c r="G13">
        <f>F13+2*H13*M13</f>
        <v>150</v>
      </c>
      <c r="H13">
        <v>8</v>
      </c>
      <c r="I13">
        <f t="shared" si="0"/>
        <v>13.75</v>
      </c>
      <c r="J13">
        <f>SQRT(12*(1-0.3^2)*I13^2*N13/(4*PI()^2*O13))</f>
        <v>0.28906822465146947</v>
      </c>
      <c r="K13">
        <f>H13*I13/200</f>
        <v>0.55000000000000004</v>
      </c>
      <c r="L13">
        <f t="shared" ref="L13:L34" si="25">E13/1000</f>
        <v>1</v>
      </c>
      <c r="M13">
        <v>2.5</v>
      </c>
      <c r="N13">
        <f>D13*C13+(1-D13)*B13</f>
        <v>325</v>
      </c>
      <c r="O13">
        <f>193000*D13+(1-D13)*206000</f>
        <v>203400</v>
      </c>
      <c r="P13">
        <f>H13*I13*H13*4</f>
        <v>3520</v>
      </c>
      <c r="Q13">
        <f>PI()*(M13*H13)^2-PI()*((M13-1)*H13)^2</f>
        <v>804.24771931898704</v>
      </c>
      <c r="R13">
        <f>P13+Q13</f>
        <v>4324.247719318987</v>
      </c>
      <c r="S13">
        <f t="shared" si="2"/>
        <v>14118333.707433984</v>
      </c>
      <c r="T13">
        <f>SQRT(S13/R13)</f>
        <v>57.139500414724267</v>
      </c>
      <c r="U13">
        <f>E13/T13</f>
        <v>17.50102805838166</v>
      </c>
      <c r="V13">
        <f>U13/PI()*SQRT(N13/O13)</f>
        <v>0.22267932418531081</v>
      </c>
      <c r="W13">
        <f>R13*N13/1000</f>
        <v>1405.3805087786709</v>
      </c>
      <c r="X13">
        <v>1484.1</v>
      </c>
      <c r="Y13">
        <f t="shared" si="3"/>
        <v>1.0560129379407284</v>
      </c>
      <c r="Z13" t="str">
        <f t="shared" si="4"/>
        <v>LC-B12</v>
      </c>
      <c r="AA13">
        <f t="shared" si="5"/>
        <v>490</v>
      </c>
      <c r="AB13">
        <f>C13/(0.2+185*C13/193000)</f>
        <v>517.02058150931066</v>
      </c>
      <c r="AC13">
        <f t="shared" si="6"/>
        <v>519.7880493042129</v>
      </c>
      <c r="AD13">
        <f t="shared" si="7"/>
        <v>325.88344850615891</v>
      </c>
      <c r="AE13">
        <f t="shared" si="8"/>
        <v>473.25094511267991</v>
      </c>
      <c r="AF13">
        <f t="shared" si="24"/>
        <v>1524.610993272428</v>
      </c>
      <c r="AG13">
        <f t="shared" si="9"/>
        <v>0.97342863625463227</v>
      </c>
    </row>
    <row r="14" spans="1:33" x14ac:dyDescent="0.25">
      <c r="A14">
        <v>13</v>
      </c>
      <c r="B14">
        <v>355</v>
      </c>
      <c r="C14">
        <v>205</v>
      </c>
      <c r="D14">
        <v>0.2</v>
      </c>
      <c r="E14">
        <v>2000</v>
      </c>
      <c r="F14">
        <v>110</v>
      </c>
      <c r="G14">
        <f t="shared" ref="G14:G23" si="26">F14+2*H14*M14</f>
        <v>150</v>
      </c>
      <c r="H14">
        <v>8</v>
      </c>
      <c r="I14">
        <f t="shared" si="0"/>
        <v>13.75</v>
      </c>
      <c r="J14">
        <f>SQRT(12*(1-0.3^2)*I14^2*N14/(4*PI()^2*O14))</f>
        <v>0.28906822465146947</v>
      </c>
      <c r="K14">
        <f t="shared" ref="K14:K23" si="27">H14*I14/200</f>
        <v>0.55000000000000004</v>
      </c>
      <c r="L14">
        <f t="shared" si="25"/>
        <v>2</v>
      </c>
      <c r="M14">
        <v>2.5</v>
      </c>
      <c r="N14">
        <f t="shared" ref="N14:N23" si="28">D14*C14+(1-D14)*B14</f>
        <v>325</v>
      </c>
      <c r="O14">
        <f>193000*D14+(1-D14)*206000</f>
        <v>203400</v>
      </c>
      <c r="P14">
        <f>H14*I14*H14*4</f>
        <v>3520</v>
      </c>
      <c r="Q14">
        <f>PI()*(M14*H14)^2-PI()*((M14-1)*H14)^2</f>
        <v>804.24771931898704</v>
      </c>
      <c r="R14">
        <f t="shared" ref="R14:R23" si="29">P14+Q14</f>
        <v>4324.247719318987</v>
      </c>
      <c r="S14">
        <f t="shared" si="2"/>
        <v>14118333.707433984</v>
      </c>
      <c r="T14">
        <f t="shared" ref="T14:T23" si="30">SQRT(S14/R14)</f>
        <v>57.139500414724267</v>
      </c>
      <c r="U14">
        <f t="shared" ref="U14:U23" si="31">E14/T14</f>
        <v>35.00205611676332</v>
      </c>
      <c r="V14">
        <f t="shared" ref="V14:V23" si="32">U14/PI()*SQRT(N14/O14)</f>
        <v>0.44535864837062161</v>
      </c>
      <c r="W14">
        <f t="shared" ref="W14:W23" si="33">R14*N14/1000</f>
        <v>1405.3805087786709</v>
      </c>
      <c r="X14">
        <v>1277.2</v>
      </c>
      <c r="Y14">
        <f t="shared" si="3"/>
        <v>0.90879302226123471</v>
      </c>
      <c r="Z14" t="str">
        <f t="shared" si="4"/>
        <v>LC-B13</v>
      </c>
      <c r="AA14">
        <f t="shared" si="5"/>
        <v>490</v>
      </c>
      <c r="AB14">
        <f t="shared" ref="AB14:AB19" si="34">C14/(0.2+185*C14/193000)</f>
        <v>517.02058150931066</v>
      </c>
      <c r="AC14">
        <f t="shared" si="6"/>
        <v>519.7880493042129</v>
      </c>
      <c r="AD14">
        <f t="shared" si="7"/>
        <v>325.88344850615891</v>
      </c>
      <c r="AE14">
        <f t="shared" si="8"/>
        <v>473.25094511267991</v>
      </c>
      <c r="AF14">
        <f t="shared" si="24"/>
        <v>1524.610993272428</v>
      </c>
      <c r="AG14">
        <f t="shared" si="9"/>
        <v>0.83772188816415094</v>
      </c>
    </row>
    <row r="15" spans="1:33" x14ac:dyDescent="0.25">
      <c r="A15">
        <v>14</v>
      </c>
      <c r="B15">
        <v>355</v>
      </c>
      <c r="C15">
        <v>205</v>
      </c>
      <c r="D15">
        <v>0.2</v>
      </c>
      <c r="E15">
        <v>3000</v>
      </c>
      <c r="F15">
        <v>110</v>
      </c>
      <c r="G15">
        <f t="shared" si="26"/>
        <v>150</v>
      </c>
      <c r="H15">
        <v>8</v>
      </c>
      <c r="I15">
        <f t="shared" si="0"/>
        <v>13.75</v>
      </c>
      <c r="J15">
        <f>SQRT(12*(1-0.3^2)*I15^2*N15/(4*PI()^2*O15))</f>
        <v>0.28906822465146947</v>
      </c>
      <c r="K15">
        <f t="shared" si="27"/>
        <v>0.55000000000000004</v>
      </c>
      <c r="L15">
        <f t="shared" si="25"/>
        <v>3</v>
      </c>
      <c r="M15">
        <v>2.5</v>
      </c>
      <c r="N15">
        <f t="shared" si="28"/>
        <v>325</v>
      </c>
      <c r="O15">
        <f>193000*D15+(1-D15)*206000</f>
        <v>203400</v>
      </c>
      <c r="P15">
        <f>H15*I15*H15*4</f>
        <v>3520</v>
      </c>
      <c r="Q15">
        <f>PI()*(M15*H15)^2-PI()*((M15-1)*H15)^2</f>
        <v>804.24771931898704</v>
      </c>
      <c r="R15">
        <f t="shared" si="29"/>
        <v>4324.247719318987</v>
      </c>
      <c r="S15">
        <f t="shared" si="2"/>
        <v>14118333.707433984</v>
      </c>
      <c r="T15">
        <f t="shared" si="30"/>
        <v>57.139500414724267</v>
      </c>
      <c r="U15">
        <f t="shared" si="31"/>
        <v>52.503084175144984</v>
      </c>
      <c r="V15">
        <f t="shared" si="32"/>
        <v>0.66803797255593245</v>
      </c>
      <c r="W15">
        <f t="shared" si="33"/>
        <v>1405.3805087786709</v>
      </c>
      <c r="X15">
        <v>1116.5999999999999</v>
      </c>
      <c r="Y15">
        <f t="shared" si="3"/>
        <v>0.79451792096531049</v>
      </c>
      <c r="Z15" t="str">
        <f t="shared" si="4"/>
        <v>LC-B14</v>
      </c>
      <c r="AA15">
        <f t="shared" si="5"/>
        <v>490</v>
      </c>
      <c r="AB15">
        <f t="shared" si="34"/>
        <v>517.02058150931066</v>
      </c>
      <c r="AC15">
        <f t="shared" si="6"/>
        <v>519.7880493042129</v>
      </c>
      <c r="AD15">
        <f t="shared" si="7"/>
        <v>325.88344850615891</v>
      </c>
      <c r="AE15">
        <f t="shared" si="8"/>
        <v>473.25094511267991</v>
      </c>
      <c r="AF15">
        <f t="shared" si="24"/>
        <v>1524.610993272428</v>
      </c>
      <c r="AG15">
        <f t="shared" si="9"/>
        <v>0.73238354237714598</v>
      </c>
    </row>
    <row r="16" spans="1:33" x14ac:dyDescent="0.25">
      <c r="A16">
        <v>15</v>
      </c>
      <c r="B16">
        <v>355</v>
      </c>
      <c r="C16">
        <v>205</v>
      </c>
      <c r="D16">
        <v>0.2</v>
      </c>
      <c r="E16">
        <v>4000</v>
      </c>
      <c r="F16">
        <v>110</v>
      </c>
      <c r="G16">
        <f t="shared" si="26"/>
        <v>150</v>
      </c>
      <c r="H16">
        <v>8</v>
      </c>
      <c r="I16">
        <f t="shared" si="0"/>
        <v>13.75</v>
      </c>
      <c r="J16">
        <f t="shared" ref="J16:J23" si="35">SQRT(12*(1-0.3^2)*I16^2*N16/(4*PI()^2*O16))</f>
        <v>0.28906822465146947</v>
      </c>
      <c r="K16">
        <f t="shared" si="27"/>
        <v>0.55000000000000004</v>
      </c>
      <c r="L16">
        <f t="shared" si="25"/>
        <v>4</v>
      </c>
      <c r="M16">
        <v>2.5</v>
      </c>
      <c r="N16">
        <f t="shared" si="28"/>
        <v>325</v>
      </c>
      <c r="O16">
        <f t="shared" ref="O16:O23" si="36">193000*D16+(1-D16)*206000</f>
        <v>203400</v>
      </c>
      <c r="P16">
        <f t="shared" ref="P16:P23" si="37">H16*I16*H16*4</f>
        <v>3520</v>
      </c>
      <c r="Q16">
        <f t="shared" ref="Q16:Q23" si="38">PI()*(M16*H16)^2-PI()*((M16-1)*H16)^2</f>
        <v>804.24771931898704</v>
      </c>
      <c r="R16">
        <f t="shared" si="29"/>
        <v>4324.247719318987</v>
      </c>
      <c r="S16">
        <f t="shared" si="2"/>
        <v>14118333.707433984</v>
      </c>
      <c r="T16">
        <f t="shared" si="30"/>
        <v>57.139500414724267</v>
      </c>
      <c r="U16">
        <f t="shared" si="31"/>
        <v>70.004112233526641</v>
      </c>
      <c r="V16">
        <f t="shared" si="32"/>
        <v>0.89071729674124323</v>
      </c>
      <c r="W16">
        <f t="shared" si="33"/>
        <v>1405.3805087786709</v>
      </c>
      <c r="X16">
        <v>962.3</v>
      </c>
      <c r="Y16">
        <f t="shared" si="3"/>
        <v>0.68472559138896505</v>
      </c>
      <c r="Z16" t="str">
        <f t="shared" si="4"/>
        <v>LC-B15</v>
      </c>
      <c r="AA16">
        <f t="shared" si="5"/>
        <v>490</v>
      </c>
      <c r="AB16">
        <f t="shared" si="34"/>
        <v>517.02058150931066</v>
      </c>
      <c r="AC16">
        <f t="shared" si="6"/>
        <v>519.7880493042129</v>
      </c>
      <c r="AD16">
        <f t="shared" si="7"/>
        <v>325.88344850615891</v>
      </c>
      <c r="AE16">
        <f t="shared" si="8"/>
        <v>473.25094511267991</v>
      </c>
      <c r="AF16">
        <f t="shared" si="24"/>
        <v>1524.610993272428</v>
      </c>
      <c r="AG16">
        <f t="shared" si="9"/>
        <v>0.6311773981994695</v>
      </c>
    </row>
    <row r="17" spans="1:33" x14ac:dyDescent="0.25">
      <c r="A17">
        <v>16</v>
      </c>
      <c r="B17">
        <v>355</v>
      </c>
      <c r="C17">
        <v>205</v>
      </c>
      <c r="D17">
        <v>0.2</v>
      </c>
      <c r="E17">
        <v>5000</v>
      </c>
      <c r="F17">
        <v>110</v>
      </c>
      <c r="G17">
        <f t="shared" si="26"/>
        <v>150</v>
      </c>
      <c r="H17">
        <v>8</v>
      </c>
      <c r="I17">
        <f t="shared" si="0"/>
        <v>13.75</v>
      </c>
      <c r="J17">
        <f t="shared" si="35"/>
        <v>0.28906822465146947</v>
      </c>
      <c r="K17">
        <f t="shared" si="27"/>
        <v>0.55000000000000004</v>
      </c>
      <c r="L17">
        <f t="shared" si="25"/>
        <v>5</v>
      </c>
      <c r="M17">
        <v>2.5</v>
      </c>
      <c r="N17">
        <f t="shared" si="28"/>
        <v>325</v>
      </c>
      <c r="O17">
        <f t="shared" si="36"/>
        <v>203400</v>
      </c>
      <c r="P17">
        <f t="shared" si="37"/>
        <v>3520</v>
      </c>
      <c r="Q17">
        <f t="shared" si="38"/>
        <v>804.24771931898704</v>
      </c>
      <c r="R17">
        <f t="shared" si="29"/>
        <v>4324.247719318987</v>
      </c>
      <c r="S17">
        <f t="shared" si="2"/>
        <v>14118333.707433984</v>
      </c>
      <c r="T17">
        <f t="shared" si="30"/>
        <v>57.139500414724267</v>
      </c>
      <c r="U17">
        <f t="shared" si="31"/>
        <v>87.505140291908305</v>
      </c>
      <c r="V17">
        <f t="shared" si="32"/>
        <v>1.113396620926554</v>
      </c>
      <c r="W17">
        <f t="shared" si="33"/>
        <v>1405.3805087786709</v>
      </c>
      <c r="X17">
        <v>799.9</v>
      </c>
      <c r="Y17">
        <f t="shared" si="3"/>
        <v>0.56916969817316132</v>
      </c>
      <c r="Z17" t="str">
        <f t="shared" si="4"/>
        <v>LC-B16</v>
      </c>
      <c r="AA17">
        <f t="shared" si="5"/>
        <v>490</v>
      </c>
      <c r="AB17">
        <f t="shared" si="34"/>
        <v>517.02058150931066</v>
      </c>
      <c r="AC17">
        <f t="shared" si="6"/>
        <v>519.7880493042129</v>
      </c>
      <c r="AD17">
        <f t="shared" si="7"/>
        <v>325.88344850615891</v>
      </c>
      <c r="AE17">
        <f t="shared" si="8"/>
        <v>473.25094511267991</v>
      </c>
      <c r="AF17">
        <f t="shared" si="24"/>
        <v>1524.610993272428</v>
      </c>
      <c r="AG17">
        <f t="shared" si="9"/>
        <v>0.52465842338122792</v>
      </c>
    </row>
    <row r="18" spans="1:33" x14ac:dyDescent="0.25">
      <c r="A18">
        <v>17</v>
      </c>
      <c r="B18">
        <v>355</v>
      </c>
      <c r="C18">
        <v>205</v>
      </c>
      <c r="D18">
        <v>0.2</v>
      </c>
      <c r="E18">
        <v>6000</v>
      </c>
      <c r="F18">
        <v>110</v>
      </c>
      <c r="G18">
        <f t="shared" si="26"/>
        <v>150</v>
      </c>
      <c r="H18">
        <v>8</v>
      </c>
      <c r="I18">
        <f t="shared" si="0"/>
        <v>13.75</v>
      </c>
      <c r="J18">
        <f t="shared" si="35"/>
        <v>0.28906822465146947</v>
      </c>
      <c r="K18">
        <f t="shared" si="27"/>
        <v>0.55000000000000004</v>
      </c>
      <c r="L18">
        <f t="shared" si="25"/>
        <v>6</v>
      </c>
      <c r="M18">
        <v>2.5</v>
      </c>
      <c r="N18">
        <f t="shared" si="28"/>
        <v>325</v>
      </c>
      <c r="O18">
        <f t="shared" si="36"/>
        <v>203400</v>
      </c>
      <c r="P18">
        <f t="shared" si="37"/>
        <v>3520</v>
      </c>
      <c r="Q18">
        <f t="shared" si="38"/>
        <v>804.24771931898704</v>
      </c>
      <c r="R18">
        <f t="shared" si="29"/>
        <v>4324.247719318987</v>
      </c>
      <c r="S18">
        <f t="shared" si="2"/>
        <v>14118333.707433984</v>
      </c>
      <c r="T18">
        <f t="shared" si="30"/>
        <v>57.139500414724267</v>
      </c>
      <c r="U18">
        <f t="shared" si="31"/>
        <v>105.00616835028997</v>
      </c>
      <c r="V18">
        <f t="shared" si="32"/>
        <v>1.3360759451118649</v>
      </c>
      <c r="W18">
        <f t="shared" si="33"/>
        <v>1405.3805087786709</v>
      </c>
      <c r="X18">
        <v>629.6</v>
      </c>
      <c r="Y18">
        <f t="shared" si="3"/>
        <v>0.44799255153121936</v>
      </c>
      <c r="Z18" t="str">
        <f t="shared" si="4"/>
        <v>LC-B17</v>
      </c>
      <c r="AA18">
        <f t="shared" si="5"/>
        <v>490</v>
      </c>
      <c r="AB18">
        <f t="shared" si="34"/>
        <v>517.02058150931066</v>
      </c>
      <c r="AC18">
        <f t="shared" si="6"/>
        <v>519.7880493042129</v>
      </c>
      <c r="AD18">
        <f t="shared" si="7"/>
        <v>325.88344850615891</v>
      </c>
      <c r="AE18">
        <f t="shared" si="8"/>
        <v>473.25094511267991</v>
      </c>
      <c r="AF18">
        <f t="shared" si="24"/>
        <v>1524.610993272428</v>
      </c>
      <c r="AG18">
        <f t="shared" si="9"/>
        <v>0.41295779892589213</v>
      </c>
    </row>
    <row r="19" spans="1:33" x14ac:dyDescent="0.25">
      <c r="A19">
        <v>18</v>
      </c>
      <c r="B19">
        <v>355</v>
      </c>
      <c r="C19">
        <v>205</v>
      </c>
      <c r="D19">
        <v>0.2</v>
      </c>
      <c r="E19">
        <v>7000</v>
      </c>
      <c r="F19">
        <v>110</v>
      </c>
      <c r="G19">
        <f t="shared" si="26"/>
        <v>150</v>
      </c>
      <c r="H19">
        <v>8</v>
      </c>
      <c r="I19">
        <f t="shared" si="0"/>
        <v>13.75</v>
      </c>
      <c r="J19">
        <f t="shared" si="35"/>
        <v>0.28906822465146947</v>
      </c>
      <c r="K19">
        <f t="shared" si="27"/>
        <v>0.55000000000000004</v>
      </c>
      <c r="L19">
        <f t="shared" si="25"/>
        <v>7</v>
      </c>
      <c r="M19">
        <v>2.5</v>
      </c>
      <c r="N19">
        <f t="shared" si="28"/>
        <v>325</v>
      </c>
      <c r="O19">
        <f t="shared" si="36"/>
        <v>203400</v>
      </c>
      <c r="P19">
        <f t="shared" si="37"/>
        <v>3520</v>
      </c>
      <c r="Q19">
        <f t="shared" si="38"/>
        <v>804.24771931898704</v>
      </c>
      <c r="R19">
        <f t="shared" si="29"/>
        <v>4324.247719318987</v>
      </c>
      <c r="S19">
        <f t="shared" si="2"/>
        <v>14118333.707433984</v>
      </c>
      <c r="T19">
        <f t="shared" si="30"/>
        <v>57.139500414724267</v>
      </c>
      <c r="U19">
        <f t="shared" si="31"/>
        <v>122.50719640867163</v>
      </c>
      <c r="V19">
        <f t="shared" si="32"/>
        <v>1.5587552692971756</v>
      </c>
      <c r="W19">
        <f t="shared" si="33"/>
        <v>1405.3805087786709</v>
      </c>
      <c r="X19">
        <v>493</v>
      </c>
      <c r="Y19">
        <f t="shared" si="3"/>
        <v>0.3507946758336899</v>
      </c>
      <c r="Z19" t="str">
        <f t="shared" si="4"/>
        <v>LC-B18</v>
      </c>
      <c r="AA19">
        <f t="shared" si="5"/>
        <v>490</v>
      </c>
      <c r="AB19">
        <f t="shared" si="34"/>
        <v>517.02058150931066</v>
      </c>
      <c r="AC19">
        <f t="shared" si="6"/>
        <v>519.7880493042129</v>
      </c>
      <c r="AD19">
        <f t="shared" si="7"/>
        <v>325.88344850615891</v>
      </c>
      <c r="AE19">
        <f t="shared" si="8"/>
        <v>473.25094511267991</v>
      </c>
      <c r="AF19">
        <f t="shared" si="24"/>
        <v>1524.610993272428</v>
      </c>
      <c r="AG19">
        <f t="shared" si="9"/>
        <v>0.32336117355537614</v>
      </c>
    </row>
    <row r="20" spans="1:33" x14ac:dyDescent="0.25">
      <c r="A20">
        <v>19</v>
      </c>
      <c r="B20">
        <v>355</v>
      </c>
      <c r="C20">
        <v>205</v>
      </c>
      <c r="D20">
        <v>0.2</v>
      </c>
      <c r="E20">
        <v>8000</v>
      </c>
      <c r="F20">
        <v>110</v>
      </c>
      <c r="G20">
        <f t="shared" si="26"/>
        <v>150</v>
      </c>
      <c r="H20">
        <v>8</v>
      </c>
      <c r="I20">
        <f t="shared" si="0"/>
        <v>13.75</v>
      </c>
      <c r="J20">
        <f t="shared" si="35"/>
        <v>0.28906822465146947</v>
      </c>
      <c r="K20">
        <f t="shared" si="27"/>
        <v>0.55000000000000004</v>
      </c>
      <c r="L20">
        <f t="shared" si="25"/>
        <v>8</v>
      </c>
      <c r="M20">
        <v>2.5</v>
      </c>
      <c r="N20">
        <f t="shared" si="28"/>
        <v>325</v>
      </c>
      <c r="O20">
        <f t="shared" si="36"/>
        <v>203400</v>
      </c>
      <c r="P20">
        <f t="shared" si="37"/>
        <v>3520</v>
      </c>
      <c r="Q20">
        <f t="shared" si="38"/>
        <v>804.24771931898704</v>
      </c>
      <c r="R20">
        <f t="shared" si="29"/>
        <v>4324.247719318987</v>
      </c>
      <c r="S20">
        <f t="shared" si="2"/>
        <v>14118333.707433984</v>
      </c>
      <c r="T20">
        <f t="shared" si="30"/>
        <v>57.139500414724267</v>
      </c>
      <c r="U20">
        <f t="shared" si="31"/>
        <v>140.00822446705328</v>
      </c>
      <c r="V20">
        <f t="shared" si="32"/>
        <v>1.7814345934824865</v>
      </c>
      <c r="W20">
        <f t="shared" si="33"/>
        <v>1405.3805087786709</v>
      </c>
      <c r="X20">
        <v>390.3</v>
      </c>
      <c r="Y20">
        <f t="shared" si="3"/>
        <v>0.27771838129389281</v>
      </c>
      <c r="Z20" t="str">
        <f t="shared" si="4"/>
        <v>LC-B19</v>
      </c>
      <c r="AA20">
        <f t="shared" si="5"/>
        <v>490</v>
      </c>
      <c r="AB20">
        <f>C20/(0.2+185*C20/193000)</f>
        <v>517.02058150931066</v>
      </c>
      <c r="AC20">
        <f t="shared" si="6"/>
        <v>519.7880493042129</v>
      </c>
      <c r="AD20">
        <f t="shared" si="7"/>
        <v>325.88344850615891</v>
      </c>
      <c r="AE20">
        <f t="shared" si="8"/>
        <v>473.25094511267991</v>
      </c>
      <c r="AF20">
        <f>(AE20*Q20+N20*P20)/1000</f>
        <v>1524.610993272428</v>
      </c>
      <c r="AG20">
        <f t="shared" si="9"/>
        <v>0.25599972827315076</v>
      </c>
    </row>
    <row r="21" spans="1:33" x14ac:dyDescent="0.25">
      <c r="A21">
        <v>20</v>
      </c>
      <c r="B21">
        <v>355</v>
      </c>
      <c r="C21">
        <v>205</v>
      </c>
      <c r="D21">
        <v>0.2</v>
      </c>
      <c r="E21">
        <v>9000</v>
      </c>
      <c r="F21">
        <v>110</v>
      </c>
      <c r="G21">
        <f t="shared" si="26"/>
        <v>150</v>
      </c>
      <c r="H21">
        <v>8</v>
      </c>
      <c r="I21">
        <f t="shared" si="0"/>
        <v>13.75</v>
      </c>
      <c r="J21">
        <f t="shared" si="35"/>
        <v>0.28906822465146947</v>
      </c>
      <c r="K21">
        <f t="shared" si="27"/>
        <v>0.55000000000000004</v>
      </c>
      <c r="L21">
        <f t="shared" si="25"/>
        <v>9</v>
      </c>
      <c r="M21">
        <v>2.5</v>
      </c>
      <c r="N21">
        <f t="shared" si="28"/>
        <v>325</v>
      </c>
      <c r="O21">
        <f t="shared" si="36"/>
        <v>203400</v>
      </c>
      <c r="P21">
        <f t="shared" si="37"/>
        <v>3520</v>
      </c>
      <c r="Q21">
        <f t="shared" si="38"/>
        <v>804.24771931898704</v>
      </c>
      <c r="R21">
        <f t="shared" si="29"/>
        <v>4324.247719318987</v>
      </c>
      <c r="S21">
        <f t="shared" si="2"/>
        <v>14118333.707433984</v>
      </c>
      <c r="T21">
        <f t="shared" si="30"/>
        <v>57.139500414724267</v>
      </c>
      <c r="U21">
        <f t="shared" si="31"/>
        <v>157.50925252543496</v>
      </c>
      <c r="V21">
        <f t="shared" si="32"/>
        <v>2.0041139176677971</v>
      </c>
      <c r="W21">
        <f t="shared" si="33"/>
        <v>1405.3805087786709</v>
      </c>
      <c r="X21">
        <v>314.8</v>
      </c>
      <c r="Y21">
        <f t="shared" si="3"/>
        <v>0.22399627576560968</v>
      </c>
      <c r="Z21" t="str">
        <f t="shared" si="4"/>
        <v>LC-B20</v>
      </c>
      <c r="AA21">
        <f t="shared" si="5"/>
        <v>490</v>
      </c>
      <c r="AB21">
        <f>C21/(0.2+185*C21/193000)</f>
        <v>517.02058150931066</v>
      </c>
      <c r="AC21">
        <f t="shared" si="6"/>
        <v>519.7880493042129</v>
      </c>
      <c r="AD21">
        <f t="shared" si="7"/>
        <v>325.88344850615891</v>
      </c>
      <c r="AE21">
        <f t="shared" si="8"/>
        <v>473.25094511267991</v>
      </c>
      <c r="AF21">
        <f t="shared" ref="AF21:AF23" si="39">(AE21*Q21+N21*P21)/1000</f>
        <v>1524.610993272428</v>
      </c>
      <c r="AG21">
        <f t="shared" si="9"/>
        <v>0.20647889946294606</v>
      </c>
    </row>
    <row r="22" spans="1:33" x14ac:dyDescent="0.25">
      <c r="A22">
        <v>21</v>
      </c>
      <c r="B22">
        <v>355</v>
      </c>
      <c r="C22">
        <v>205</v>
      </c>
      <c r="D22">
        <v>0.2</v>
      </c>
      <c r="E22">
        <v>10000</v>
      </c>
      <c r="F22">
        <v>110</v>
      </c>
      <c r="G22">
        <f t="shared" si="26"/>
        <v>150</v>
      </c>
      <c r="H22">
        <v>8</v>
      </c>
      <c r="I22">
        <f t="shared" si="0"/>
        <v>13.75</v>
      </c>
      <c r="J22">
        <f t="shared" si="35"/>
        <v>0.28906822465146947</v>
      </c>
      <c r="K22">
        <f t="shared" si="27"/>
        <v>0.55000000000000004</v>
      </c>
      <c r="L22">
        <f t="shared" si="25"/>
        <v>10</v>
      </c>
      <c r="M22">
        <v>2.5</v>
      </c>
      <c r="N22">
        <f t="shared" si="28"/>
        <v>325</v>
      </c>
      <c r="O22">
        <f t="shared" si="36"/>
        <v>203400</v>
      </c>
      <c r="P22">
        <f t="shared" si="37"/>
        <v>3520</v>
      </c>
      <c r="Q22">
        <f t="shared" si="38"/>
        <v>804.24771931898704</v>
      </c>
      <c r="R22">
        <f t="shared" si="29"/>
        <v>4324.247719318987</v>
      </c>
      <c r="S22">
        <f t="shared" si="2"/>
        <v>14118333.707433984</v>
      </c>
      <c r="T22">
        <f t="shared" si="30"/>
        <v>57.139500414724267</v>
      </c>
      <c r="U22">
        <f t="shared" si="31"/>
        <v>175.01028058381661</v>
      </c>
      <c r="V22">
        <f t="shared" si="32"/>
        <v>2.226793241853108</v>
      </c>
      <c r="W22">
        <f t="shared" si="33"/>
        <v>1405.3805087786709</v>
      </c>
      <c r="X22">
        <v>258.7</v>
      </c>
      <c r="Y22">
        <f t="shared" si="3"/>
        <v>0.18407826092936219</v>
      </c>
      <c r="Z22" t="str">
        <f t="shared" si="4"/>
        <v>LC-B21</v>
      </c>
      <c r="AA22">
        <f t="shared" si="5"/>
        <v>490</v>
      </c>
      <c r="AB22">
        <f>C22/(0.2+185*C22/193000)</f>
        <v>517.02058150931066</v>
      </c>
      <c r="AC22">
        <f t="shared" si="6"/>
        <v>519.7880493042129</v>
      </c>
      <c r="AD22">
        <f t="shared" si="7"/>
        <v>325.88344850615891</v>
      </c>
      <c r="AE22">
        <f t="shared" si="8"/>
        <v>473.25094511267991</v>
      </c>
      <c r="AF22">
        <f t="shared" si="39"/>
        <v>1524.610993272428</v>
      </c>
      <c r="AG22">
        <f t="shared" si="9"/>
        <v>0.16968262798940326</v>
      </c>
    </row>
    <row r="23" spans="1:33" x14ac:dyDescent="0.25">
      <c r="A23">
        <v>22</v>
      </c>
      <c r="B23">
        <v>355</v>
      </c>
      <c r="C23">
        <v>205</v>
      </c>
      <c r="D23">
        <v>0.2</v>
      </c>
      <c r="E23">
        <v>12000</v>
      </c>
      <c r="F23">
        <v>110</v>
      </c>
      <c r="G23">
        <f t="shared" si="26"/>
        <v>150</v>
      </c>
      <c r="H23">
        <v>8</v>
      </c>
      <c r="I23">
        <f t="shared" si="0"/>
        <v>13.75</v>
      </c>
      <c r="J23">
        <f t="shared" si="35"/>
        <v>0.28906822465146947</v>
      </c>
      <c r="K23">
        <f t="shared" si="27"/>
        <v>0.55000000000000004</v>
      </c>
      <c r="L23">
        <f t="shared" si="25"/>
        <v>12</v>
      </c>
      <c r="M23">
        <v>2.5</v>
      </c>
      <c r="N23">
        <f t="shared" si="28"/>
        <v>325</v>
      </c>
      <c r="O23">
        <f t="shared" si="36"/>
        <v>203400</v>
      </c>
      <c r="P23">
        <f t="shared" si="37"/>
        <v>3520</v>
      </c>
      <c r="Q23">
        <f t="shared" si="38"/>
        <v>804.24771931898704</v>
      </c>
      <c r="R23">
        <f t="shared" si="29"/>
        <v>4324.247719318987</v>
      </c>
      <c r="S23">
        <f t="shared" si="2"/>
        <v>14118333.707433984</v>
      </c>
      <c r="T23">
        <f t="shared" si="30"/>
        <v>57.139500414724267</v>
      </c>
      <c r="U23">
        <f t="shared" si="31"/>
        <v>210.01233670057994</v>
      </c>
      <c r="V23">
        <f t="shared" si="32"/>
        <v>2.6721518902237298</v>
      </c>
      <c r="W23">
        <f t="shared" si="33"/>
        <v>1405.3805087786709</v>
      </c>
      <c r="X23">
        <v>183</v>
      </c>
      <c r="Y23">
        <f t="shared" si="3"/>
        <v>0.13021384518775911</v>
      </c>
      <c r="Z23" t="str">
        <f t="shared" si="4"/>
        <v>LC-B22</v>
      </c>
      <c r="AA23">
        <f t="shared" si="5"/>
        <v>490</v>
      </c>
      <c r="AB23">
        <f t="shared" ref="AB23" si="40">C23/(0.2+185*C23/193000)</f>
        <v>517.02058150931066</v>
      </c>
      <c r="AC23">
        <f t="shared" si="6"/>
        <v>519.7880493042129</v>
      </c>
      <c r="AD23">
        <f t="shared" si="7"/>
        <v>325.88344850615891</v>
      </c>
      <c r="AE23">
        <f t="shared" si="8"/>
        <v>473.25094511267991</v>
      </c>
      <c r="AF23">
        <f t="shared" si="39"/>
        <v>1524.610993272428</v>
      </c>
      <c r="AG23">
        <f t="shared" si="9"/>
        <v>0.12003061817572785</v>
      </c>
    </row>
    <row r="24" spans="1:33" x14ac:dyDescent="0.25">
      <c r="A24">
        <v>23</v>
      </c>
      <c r="B24">
        <v>355</v>
      </c>
      <c r="C24">
        <v>205</v>
      </c>
      <c r="D24">
        <v>0.3</v>
      </c>
      <c r="E24">
        <v>1000</v>
      </c>
      <c r="F24">
        <v>110</v>
      </c>
      <c r="G24">
        <f>F24+2*H24*M24</f>
        <v>150</v>
      </c>
      <c r="H24">
        <v>8</v>
      </c>
      <c r="I24">
        <f t="shared" si="0"/>
        <v>13.75</v>
      </c>
      <c r="J24">
        <f>SQRT(12*(1-0.3^2)*I24^2*N24/(4*PI()^2*O24))</f>
        <v>0.28322516543968385</v>
      </c>
      <c r="K24">
        <f>H24*I24/200</f>
        <v>0.55000000000000004</v>
      </c>
      <c r="L24">
        <f t="shared" si="25"/>
        <v>1</v>
      </c>
      <c r="M24">
        <v>2.5</v>
      </c>
      <c r="N24">
        <f>D24*C24+(1-D24)*B24</f>
        <v>310</v>
      </c>
      <c r="O24">
        <f>193000*D24+(1-D24)*206000</f>
        <v>202100</v>
      </c>
      <c r="P24">
        <f>H24*I24*H24*4</f>
        <v>3520</v>
      </c>
      <c r="Q24">
        <f>PI()*(M24*H24)^2-PI()*((M24-1)*H24)^2</f>
        <v>804.24771931898704</v>
      </c>
      <c r="R24">
        <f>P24+Q24</f>
        <v>4324.247719318987</v>
      </c>
      <c r="S24">
        <f t="shared" si="2"/>
        <v>14118333.707433984</v>
      </c>
      <c r="T24">
        <f>SQRT(S24/R24)</f>
        <v>57.139500414724267</v>
      </c>
      <c r="U24">
        <f>E24/T24</f>
        <v>17.50102805838166</v>
      </c>
      <c r="V24">
        <f>U24/PI()*SQRT(N24/O24)</f>
        <v>0.21817821211038815</v>
      </c>
      <c r="W24">
        <f>R24*N24/1000</f>
        <v>1340.516792988886</v>
      </c>
      <c r="X24">
        <v>1421.4</v>
      </c>
      <c r="Y24">
        <f t="shared" si="3"/>
        <v>1.0603373321648382</v>
      </c>
      <c r="Z24" t="str">
        <f t="shared" si="4"/>
        <v>LC-B23</v>
      </c>
      <c r="AA24">
        <f t="shared" si="5"/>
        <v>490</v>
      </c>
      <c r="AB24">
        <f>C24/(0.2+185*C24/193000)</f>
        <v>517.02058150931066</v>
      </c>
      <c r="AC24">
        <f t="shared" si="6"/>
        <v>519.7880493042129</v>
      </c>
      <c r="AD24">
        <f t="shared" si="7"/>
        <v>325.88344850615891</v>
      </c>
      <c r="AE24">
        <f t="shared" si="8"/>
        <v>451.43667752289889</v>
      </c>
      <c r="AF24">
        <f>(AE24*Q24+N24*P24)/1000</f>
        <v>1454.2669183147323</v>
      </c>
      <c r="AG24">
        <f t="shared" si="9"/>
        <v>0.97739966583794691</v>
      </c>
    </row>
    <row r="25" spans="1:33" x14ac:dyDescent="0.25">
      <c r="A25">
        <v>24</v>
      </c>
      <c r="B25">
        <v>355</v>
      </c>
      <c r="C25">
        <v>205</v>
      </c>
      <c r="D25">
        <v>0.3</v>
      </c>
      <c r="E25">
        <v>2000</v>
      </c>
      <c r="F25">
        <v>110</v>
      </c>
      <c r="G25">
        <f t="shared" ref="G25:G34" si="41">F25+2*H25*M25</f>
        <v>150</v>
      </c>
      <c r="H25">
        <v>8</v>
      </c>
      <c r="I25">
        <f t="shared" si="0"/>
        <v>13.75</v>
      </c>
      <c r="J25">
        <f>SQRT(12*(1-0.3^2)*I25^2*N25/(4*PI()^2*O25))</f>
        <v>0.28322516543968385</v>
      </c>
      <c r="K25">
        <f t="shared" ref="K25:K34" si="42">H25*I25/200</f>
        <v>0.55000000000000004</v>
      </c>
      <c r="L25">
        <f t="shared" si="25"/>
        <v>2</v>
      </c>
      <c r="M25">
        <v>2.5</v>
      </c>
      <c r="N25">
        <f t="shared" ref="N25:N34" si="43">D25*C25+(1-D25)*B25</f>
        <v>310</v>
      </c>
      <c r="O25">
        <f>193000*D25+(1-D25)*206000</f>
        <v>202100</v>
      </c>
      <c r="P25">
        <f>H25*I25*H25*4</f>
        <v>3520</v>
      </c>
      <c r="Q25">
        <f>PI()*(M25*H25)^2-PI()*((M25-1)*H25)^2</f>
        <v>804.24771931898704</v>
      </c>
      <c r="R25">
        <f t="shared" ref="R25:R34" si="44">P25+Q25</f>
        <v>4324.247719318987</v>
      </c>
      <c r="S25">
        <f t="shared" si="2"/>
        <v>14118333.707433984</v>
      </c>
      <c r="T25">
        <f t="shared" ref="T25:T34" si="45">SQRT(S25/R25)</f>
        <v>57.139500414724267</v>
      </c>
      <c r="U25">
        <f t="shared" ref="U25:U34" si="46">E25/T25</f>
        <v>35.00205611676332</v>
      </c>
      <c r="V25">
        <f t="shared" ref="V25:V34" si="47">U25/PI()*SQRT(N25/O25)</f>
        <v>0.43635642422077631</v>
      </c>
      <c r="W25">
        <f t="shared" ref="W25:W34" si="48">R25*N25/1000</f>
        <v>1340.516792988886</v>
      </c>
      <c r="X25">
        <v>1234.2</v>
      </c>
      <c r="Y25">
        <f t="shared" si="3"/>
        <v>0.92068969702957881</v>
      </c>
      <c r="Z25" t="str">
        <f t="shared" si="4"/>
        <v>LC-B24</v>
      </c>
      <c r="AA25">
        <f t="shared" si="5"/>
        <v>490</v>
      </c>
      <c r="AB25">
        <f>C25/(0.2+185*C25/193000)</f>
        <v>517.02058150931066</v>
      </c>
      <c r="AC25">
        <f t="shared" si="6"/>
        <v>519.7880493042129</v>
      </c>
      <c r="AD25">
        <f t="shared" si="7"/>
        <v>325.88344850615891</v>
      </c>
      <c r="AE25">
        <f t="shared" si="8"/>
        <v>451.43667752289889</v>
      </c>
      <c r="AF25">
        <f t="shared" ref="AF25:AF34" si="49">(AE25*Q25+N25*P25)/1000</f>
        <v>1454.2669183147323</v>
      </c>
      <c r="AG25">
        <f t="shared" si="9"/>
        <v>0.84867501588377237</v>
      </c>
    </row>
    <row r="26" spans="1:33" x14ac:dyDescent="0.25">
      <c r="A26">
        <v>25</v>
      </c>
      <c r="B26">
        <v>355</v>
      </c>
      <c r="C26">
        <v>205</v>
      </c>
      <c r="D26">
        <v>0.3</v>
      </c>
      <c r="E26">
        <v>3000</v>
      </c>
      <c r="F26">
        <v>110</v>
      </c>
      <c r="G26">
        <f t="shared" si="41"/>
        <v>150</v>
      </c>
      <c r="H26">
        <v>8</v>
      </c>
      <c r="I26">
        <f t="shared" si="0"/>
        <v>13.75</v>
      </c>
      <c r="J26">
        <f>SQRT(12*(1-0.3^2)*I26^2*N26/(4*PI()^2*O26))</f>
        <v>0.28322516543968385</v>
      </c>
      <c r="K26">
        <f t="shared" si="42"/>
        <v>0.55000000000000004</v>
      </c>
      <c r="L26">
        <f t="shared" si="25"/>
        <v>3</v>
      </c>
      <c r="M26">
        <v>2.5</v>
      </c>
      <c r="N26">
        <f t="shared" si="43"/>
        <v>310</v>
      </c>
      <c r="O26">
        <f>193000*D26+(1-D26)*206000</f>
        <v>202100</v>
      </c>
      <c r="P26">
        <f>H26*I26*H26*4</f>
        <v>3520</v>
      </c>
      <c r="Q26">
        <f>PI()*(M26*H26)^2-PI()*((M26-1)*H26)^2</f>
        <v>804.24771931898704</v>
      </c>
      <c r="R26">
        <f t="shared" si="44"/>
        <v>4324.247719318987</v>
      </c>
      <c r="S26">
        <f t="shared" si="2"/>
        <v>14118333.707433984</v>
      </c>
      <c r="T26">
        <f t="shared" si="45"/>
        <v>57.139500414724267</v>
      </c>
      <c r="U26">
        <f t="shared" si="46"/>
        <v>52.503084175144984</v>
      </c>
      <c r="V26">
        <f t="shared" si="47"/>
        <v>0.6545346363311646</v>
      </c>
      <c r="W26">
        <f t="shared" si="48"/>
        <v>1340.516792988886</v>
      </c>
      <c r="X26">
        <v>1088.0999999999999</v>
      </c>
      <c r="Y26">
        <f t="shared" si="3"/>
        <v>0.81170187922369519</v>
      </c>
      <c r="Z26" t="str">
        <f t="shared" si="4"/>
        <v>LC-B25</v>
      </c>
      <c r="AA26">
        <f t="shared" si="5"/>
        <v>490</v>
      </c>
      <c r="AB26">
        <f>C26/(0.2+185*C26/193000)</f>
        <v>517.02058150931066</v>
      </c>
      <c r="AC26">
        <f t="shared" si="6"/>
        <v>519.7880493042129</v>
      </c>
      <c r="AD26">
        <f t="shared" si="7"/>
        <v>325.88344850615891</v>
      </c>
      <c r="AE26">
        <f t="shared" si="8"/>
        <v>451.43667752289889</v>
      </c>
      <c r="AF26">
        <f t="shared" si="49"/>
        <v>1454.2669183147323</v>
      </c>
      <c r="AG26">
        <f t="shared" si="9"/>
        <v>0.74821202785863927</v>
      </c>
    </row>
    <row r="27" spans="1:33" x14ac:dyDescent="0.25">
      <c r="A27">
        <v>26</v>
      </c>
      <c r="B27">
        <v>355</v>
      </c>
      <c r="C27">
        <v>205</v>
      </c>
      <c r="D27">
        <v>0.3</v>
      </c>
      <c r="E27">
        <v>4000</v>
      </c>
      <c r="F27">
        <v>110</v>
      </c>
      <c r="G27">
        <f t="shared" si="41"/>
        <v>150</v>
      </c>
      <c r="H27">
        <v>8</v>
      </c>
      <c r="I27">
        <f t="shared" si="0"/>
        <v>13.75</v>
      </c>
      <c r="J27">
        <f t="shared" ref="J27:J34" si="50">SQRT(12*(1-0.3^2)*I27^2*N27/(4*PI()^2*O27))</f>
        <v>0.28322516543968385</v>
      </c>
      <c r="K27">
        <f t="shared" si="42"/>
        <v>0.55000000000000004</v>
      </c>
      <c r="L27">
        <f t="shared" si="25"/>
        <v>4</v>
      </c>
      <c r="M27">
        <v>2.5</v>
      </c>
      <c r="N27">
        <f t="shared" si="43"/>
        <v>310</v>
      </c>
      <c r="O27">
        <f t="shared" ref="O27:O34" si="51">193000*D27+(1-D27)*206000</f>
        <v>202100</v>
      </c>
      <c r="P27">
        <f t="shared" ref="P27:P34" si="52">H27*I27*H27*4</f>
        <v>3520</v>
      </c>
      <c r="Q27">
        <f t="shared" ref="Q27:Q34" si="53">PI()*(M27*H27)^2-PI()*((M27-1)*H27)^2</f>
        <v>804.24771931898704</v>
      </c>
      <c r="R27">
        <f t="shared" si="44"/>
        <v>4324.247719318987</v>
      </c>
      <c r="S27">
        <f t="shared" si="2"/>
        <v>14118333.707433984</v>
      </c>
      <c r="T27">
        <f t="shared" si="45"/>
        <v>57.139500414724267</v>
      </c>
      <c r="U27">
        <f t="shared" si="46"/>
        <v>70.004112233526641</v>
      </c>
      <c r="V27">
        <f t="shared" si="47"/>
        <v>0.87271284844155261</v>
      </c>
      <c r="W27">
        <f t="shared" si="48"/>
        <v>1340.516792988886</v>
      </c>
      <c r="X27">
        <v>940.8</v>
      </c>
      <c r="Y27">
        <f t="shared" si="3"/>
        <v>0.70181888426950867</v>
      </c>
      <c r="Z27" t="str">
        <f t="shared" si="4"/>
        <v>LC-B26</v>
      </c>
      <c r="AA27">
        <f t="shared" si="5"/>
        <v>490</v>
      </c>
      <c r="AB27">
        <f t="shared" ref="AB27:AB34" si="54">C27/(0.2+185*C27/193000)</f>
        <v>517.02058150931066</v>
      </c>
      <c r="AC27">
        <f t="shared" si="6"/>
        <v>519.7880493042129</v>
      </c>
      <c r="AD27">
        <f t="shared" si="7"/>
        <v>325.88344850615891</v>
      </c>
      <c r="AE27">
        <f t="shared" si="8"/>
        <v>451.43667752289889</v>
      </c>
      <c r="AF27">
        <f t="shared" si="49"/>
        <v>1454.2669183147323</v>
      </c>
      <c r="AG27">
        <f t="shared" si="9"/>
        <v>0.64692388182097949</v>
      </c>
    </row>
    <row r="28" spans="1:33" x14ac:dyDescent="0.25">
      <c r="A28">
        <v>27</v>
      </c>
      <c r="B28">
        <v>355</v>
      </c>
      <c r="C28">
        <v>205</v>
      </c>
      <c r="D28">
        <v>0.3</v>
      </c>
      <c r="E28">
        <v>5000</v>
      </c>
      <c r="F28">
        <v>110</v>
      </c>
      <c r="G28">
        <f t="shared" si="41"/>
        <v>150</v>
      </c>
      <c r="H28">
        <v>8</v>
      </c>
      <c r="I28">
        <f t="shared" si="0"/>
        <v>13.75</v>
      </c>
      <c r="J28">
        <f t="shared" si="50"/>
        <v>0.28322516543968385</v>
      </c>
      <c r="K28">
        <f t="shared" si="42"/>
        <v>0.55000000000000004</v>
      </c>
      <c r="L28">
        <f t="shared" si="25"/>
        <v>5</v>
      </c>
      <c r="M28">
        <v>2.5</v>
      </c>
      <c r="N28">
        <f t="shared" si="43"/>
        <v>310</v>
      </c>
      <c r="O28">
        <f t="shared" si="51"/>
        <v>202100</v>
      </c>
      <c r="P28">
        <f t="shared" si="52"/>
        <v>3520</v>
      </c>
      <c r="Q28">
        <f t="shared" si="53"/>
        <v>804.24771931898704</v>
      </c>
      <c r="R28">
        <f t="shared" si="44"/>
        <v>4324.247719318987</v>
      </c>
      <c r="S28">
        <f t="shared" si="2"/>
        <v>14118333.707433984</v>
      </c>
      <c r="T28">
        <f t="shared" si="45"/>
        <v>57.139500414724267</v>
      </c>
      <c r="U28">
        <f t="shared" si="46"/>
        <v>87.505140291908305</v>
      </c>
      <c r="V28">
        <f t="shared" si="47"/>
        <v>1.0908910605519408</v>
      </c>
      <c r="W28">
        <f t="shared" si="48"/>
        <v>1340.516792988886</v>
      </c>
      <c r="X28">
        <v>785.7</v>
      </c>
      <c r="Y28">
        <f t="shared" si="3"/>
        <v>0.58611723785135317</v>
      </c>
      <c r="Z28" t="str">
        <f t="shared" si="4"/>
        <v>LC-B27</v>
      </c>
      <c r="AA28">
        <f t="shared" si="5"/>
        <v>490</v>
      </c>
      <c r="AB28">
        <f t="shared" si="54"/>
        <v>517.02058150931066</v>
      </c>
      <c r="AC28">
        <f t="shared" si="6"/>
        <v>519.7880493042129</v>
      </c>
      <c r="AD28">
        <f t="shared" si="7"/>
        <v>325.88344850615891</v>
      </c>
      <c r="AE28">
        <f t="shared" si="8"/>
        <v>451.43667752289889</v>
      </c>
      <c r="AF28">
        <f t="shared" si="49"/>
        <v>1454.2669183147323</v>
      </c>
      <c r="AG28">
        <f t="shared" si="9"/>
        <v>0.54027220870189596</v>
      </c>
    </row>
    <row r="29" spans="1:33" x14ac:dyDescent="0.25">
      <c r="A29">
        <v>28</v>
      </c>
      <c r="B29">
        <v>355</v>
      </c>
      <c r="C29">
        <v>205</v>
      </c>
      <c r="D29">
        <v>0.3</v>
      </c>
      <c r="E29">
        <v>6000</v>
      </c>
      <c r="F29">
        <v>110</v>
      </c>
      <c r="G29">
        <f t="shared" si="41"/>
        <v>150</v>
      </c>
      <c r="H29">
        <v>8</v>
      </c>
      <c r="I29">
        <f t="shared" si="0"/>
        <v>13.75</v>
      </c>
      <c r="J29">
        <f t="shared" si="50"/>
        <v>0.28322516543968385</v>
      </c>
      <c r="K29">
        <f t="shared" si="42"/>
        <v>0.55000000000000004</v>
      </c>
      <c r="L29">
        <f t="shared" si="25"/>
        <v>6</v>
      </c>
      <c r="M29">
        <v>2.5</v>
      </c>
      <c r="N29">
        <f t="shared" si="43"/>
        <v>310</v>
      </c>
      <c r="O29">
        <f t="shared" si="51"/>
        <v>202100</v>
      </c>
      <c r="P29">
        <f t="shared" si="52"/>
        <v>3520</v>
      </c>
      <c r="Q29">
        <f t="shared" si="53"/>
        <v>804.24771931898704</v>
      </c>
      <c r="R29">
        <f t="shared" si="44"/>
        <v>4324.247719318987</v>
      </c>
      <c r="S29">
        <f t="shared" si="2"/>
        <v>14118333.707433984</v>
      </c>
      <c r="T29">
        <f t="shared" si="45"/>
        <v>57.139500414724267</v>
      </c>
      <c r="U29">
        <f t="shared" si="46"/>
        <v>105.00616835028997</v>
      </c>
      <c r="V29">
        <f t="shared" si="47"/>
        <v>1.3090692726623292</v>
      </c>
      <c r="W29">
        <f t="shared" si="48"/>
        <v>1340.516792988886</v>
      </c>
      <c r="X29">
        <v>618.4</v>
      </c>
      <c r="Y29">
        <f t="shared" si="3"/>
        <v>0.46131462375878424</v>
      </c>
      <c r="Z29" t="str">
        <f t="shared" si="4"/>
        <v>LC-B28</v>
      </c>
      <c r="AA29">
        <f t="shared" si="5"/>
        <v>490</v>
      </c>
      <c r="AB29">
        <f t="shared" si="54"/>
        <v>517.02058150931066</v>
      </c>
      <c r="AC29">
        <f t="shared" si="6"/>
        <v>519.7880493042129</v>
      </c>
      <c r="AD29">
        <f t="shared" si="7"/>
        <v>325.88344850615891</v>
      </c>
      <c r="AE29">
        <f t="shared" si="8"/>
        <v>451.43667752289889</v>
      </c>
      <c r="AF29">
        <f t="shared" si="49"/>
        <v>1454.2669183147323</v>
      </c>
      <c r="AG29">
        <f t="shared" si="9"/>
        <v>0.42523142912212347</v>
      </c>
    </row>
    <row r="30" spans="1:33" x14ac:dyDescent="0.25">
      <c r="A30">
        <v>29</v>
      </c>
      <c r="B30">
        <v>355</v>
      </c>
      <c r="C30">
        <v>205</v>
      </c>
      <c r="D30">
        <v>0.3</v>
      </c>
      <c r="E30">
        <v>7000</v>
      </c>
      <c r="F30">
        <v>110</v>
      </c>
      <c r="G30">
        <f t="shared" si="41"/>
        <v>150</v>
      </c>
      <c r="H30">
        <v>8</v>
      </c>
      <c r="I30">
        <f t="shared" si="0"/>
        <v>13.75</v>
      </c>
      <c r="J30">
        <f t="shared" si="50"/>
        <v>0.28322516543968385</v>
      </c>
      <c r="K30">
        <f t="shared" si="42"/>
        <v>0.55000000000000004</v>
      </c>
      <c r="L30">
        <f t="shared" si="25"/>
        <v>7</v>
      </c>
      <c r="M30">
        <v>2.5</v>
      </c>
      <c r="N30">
        <f t="shared" si="43"/>
        <v>310</v>
      </c>
      <c r="O30">
        <f t="shared" si="51"/>
        <v>202100</v>
      </c>
      <c r="P30">
        <f t="shared" si="52"/>
        <v>3520</v>
      </c>
      <c r="Q30">
        <f t="shared" si="53"/>
        <v>804.24771931898704</v>
      </c>
      <c r="R30">
        <f t="shared" si="44"/>
        <v>4324.247719318987</v>
      </c>
      <c r="S30">
        <f t="shared" si="2"/>
        <v>14118333.707433984</v>
      </c>
      <c r="T30">
        <f t="shared" si="45"/>
        <v>57.139500414724267</v>
      </c>
      <c r="U30">
        <f t="shared" si="46"/>
        <v>122.50719640867163</v>
      </c>
      <c r="V30">
        <f t="shared" si="47"/>
        <v>1.5272474847727171</v>
      </c>
      <c r="W30">
        <f t="shared" si="48"/>
        <v>1340.516792988886</v>
      </c>
      <c r="X30">
        <v>486.7</v>
      </c>
      <c r="Y30">
        <f t="shared" si="3"/>
        <v>0.36306893173253602</v>
      </c>
      <c r="Z30" t="str">
        <f t="shared" si="4"/>
        <v>LC-B29</v>
      </c>
      <c r="AA30">
        <f t="shared" si="5"/>
        <v>490</v>
      </c>
      <c r="AB30">
        <f t="shared" si="54"/>
        <v>517.02058150931066</v>
      </c>
      <c r="AC30">
        <f t="shared" si="6"/>
        <v>519.7880493042129</v>
      </c>
      <c r="AD30">
        <f t="shared" si="7"/>
        <v>325.88344850615891</v>
      </c>
      <c r="AE30">
        <f t="shared" si="8"/>
        <v>451.43667752289889</v>
      </c>
      <c r="AF30">
        <f t="shared" si="49"/>
        <v>1454.2669183147323</v>
      </c>
      <c r="AG30">
        <f t="shared" si="9"/>
        <v>0.3346703372473116</v>
      </c>
    </row>
    <row r="31" spans="1:33" x14ac:dyDescent="0.25">
      <c r="A31">
        <v>30</v>
      </c>
      <c r="B31">
        <v>355</v>
      </c>
      <c r="C31">
        <v>205</v>
      </c>
      <c r="D31">
        <v>0.3</v>
      </c>
      <c r="E31">
        <v>8000</v>
      </c>
      <c r="F31">
        <v>110</v>
      </c>
      <c r="G31">
        <f t="shared" si="41"/>
        <v>150</v>
      </c>
      <c r="H31">
        <v>8</v>
      </c>
      <c r="I31">
        <f t="shared" si="0"/>
        <v>13.75</v>
      </c>
      <c r="J31">
        <f t="shared" si="50"/>
        <v>0.28322516543968385</v>
      </c>
      <c r="K31">
        <f t="shared" si="42"/>
        <v>0.55000000000000004</v>
      </c>
      <c r="L31">
        <f t="shared" si="25"/>
        <v>8</v>
      </c>
      <c r="M31">
        <v>2.5</v>
      </c>
      <c r="N31">
        <f t="shared" si="43"/>
        <v>310</v>
      </c>
      <c r="O31">
        <f t="shared" si="51"/>
        <v>202100</v>
      </c>
      <c r="P31">
        <f t="shared" si="52"/>
        <v>3520</v>
      </c>
      <c r="Q31">
        <f t="shared" si="53"/>
        <v>804.24771931898704</v>
      </c>
      <c r="R31">
        <f t="shared" si="44"/>
        <v>4324.247719318987</v>
      </c>
      <c r="S31">
        <f t="shared" si="2"/>
        <v>14118333.707433984</v>
      </c>
      <c r="T31">
        <f t="shared" si="45"/>
        <v>57.139500414724267</v>
      </c>
      <c r="U31">
        <f t="shared" si="46"/>
        <v>140.00822446705328</v>
      </c>
      <c r="V31">
        <f t="shared" si="47"/>
        <v>1.7454256968831052</v>
      </c>
      <c r="W31">
        <f t="shared" si="48"/>
        <v>1340.516792988886</v>
      </c>
      <c r="X31">
        <v>386.2</v>
      </c>
      <c r="Y31">
        <f t="shared" si="3"/>
        <v>0.28809784556216439</v>
      </c>
      <c r="Z31" t="str">
        <f t="shared" si="4"/>
        <v>LC-B30</v>
      </c>
      <c r="AA31">
        <f t="shared" si="5"/>
        <v>490</v>
      </c>
      <c r="AB31">
        <f t="shared" si="54"/>
        <v>517.02058150931066</v>
      </c>
      <c r="AC31">
        <f t="shared" si="6"/>
        <v>519.7880493042129</v>
      </c>
      <c r="AD31">
        <f t="shared" si="7"/>
        <v>325.88344850615891</v>
      </c>
      <c r="AE31">
        <f t="shared" si="8"/>
        <v>451.43667752289889</v>
      </c>
      <c r="AF31">
        <f t="shared" si="49"/>
        <v>1454.2669183147323</v>
      </c>
      <c r="AG31">
        <f t="shared" si="9"/>
        <v>0.26556335369819545</v>
      </c>
    </row>
    <row r="32" spans="1:33" x14ac:dyDescent="0.25">
      <c r="A32">
        <v>31</v>
      </c>
      <c r="B32">
        <v>355</v>
      </c>
      <c r="C32">
        <v>205</v>
      </c>
      <c r="D32">
        <v>0.3</v>
      </c>
      <c r="E32">
        <v>9000</v>
      </c>
      <c r="F32">
        <v>110</v>
      </c>
      <c r="G32">
        <f t="shared" si="41"/>
        <v>150</v>
      </c>
      <c r="H32">
        <v>8</v>
      </c>
      <c r="I32">
        <f t="shared" si="0"/>
        <v>13.75</v>
      </c>
      <c r="J32">
        <f t="shared" si="50"/>
        <v>0.28322516543968385</v>
      </c>
      <c r="K32">
        <f t="shared" si="42"/>
        <v>0.55000000000000004</v>
      </c>
      <c r="L32">
        <f t="shared" si="25"/>
        <v>9</v>
      </c>
      <c r="M32">
        <v>2.5</v>
      </c>
      <c r="N32">
        <f t="shared" si="43"/>
        <v>310</v>
      </c>
      <c r="O32">
        <f t="shared" si="51"/>
        <v>202100</v>
      </c>
      <c r="P32">
        <f t="shared" si="52"/>
        <v>3520</v>
      </c>
      <c r="Q32">
        <f t="shared" si="53"/>
        <v>804.24771931898704</v>
      </c>
      <c r="R32">
        <f t="shared" si="44"/>
        <v>4324.247719318987</v>
      </c>
      <c r="S32">
        <f t="shared" si="2"/>
        <v>14118333.707433984</v>
      </c>
      <c r="T32">
        <f t="shared" si="45"/>
        <v>57.139500414724267</v>
      </c>
      <c r="U32">
        <f t="shared" si="46"/>
        <v>157.50925252543496</v>
      </c>
      <c r="V32">
        <f t="shared" si="47"/>
        <v>1.9636039089934936</v>
      </c>
      <c r="W32">
        <f t="shared" si="48"/>
        <v>1340.516792988886</v>
      </c>
      <c r="X32">
        <v>311.89999999999998</v>
      </c>
      <c r="Y32">
        <f t="shared" si="3"/>
        <v>0.23267146046307374</v>
      </c>
      <c r="Z32" t="str">
        <f t="shared" si="4"/>
        <v>LC-B31</v>
      </c>
      <c r="AA32">
        <f t="shared" si="5"/>
        <v>490</v>
      </c>
      <c r="AB32">
        <f t="shared" si="54"/>
        <v>517.02058150931066</v>
      </c>
      <c r="AC32">
        <f t="shared" si="6"/>
        <v>519.7880493042129</v>
      </c>
      <c r="AD32">
        <f t="shared" si="7"/>
        <v>325.88344850615891</v>
      </c>
      <c r="AE32">
        <f t="shared" si="8"/>
        <v>451.43667752289889</v>
      </c>
      <c r="AF32">
        <f t="shared" si="49"/>
        <v>1454.2669183147323</v>
      </c>
      <c r="AG32">
        <f t="shared" si="9"/>
        <v>0.21447232008924694</v>
      </c>
    </row>
    <row r="33" spans="1:33" x14ac:dyDescent="0.25">
      <c r="A33">
        <v>32</v>
      </c>
      <c r="B33">
        <v>355</v>
      </c>
      <c r="C33">
        <v>205</v>
      </c>
      <c r="D33">
        <v>0.3</v>
      </c>
      <c r="E33">
        <v>10000</v>
      </c>
      <c r="F33">
        <v>110</v>
      </c>
      <c r="G33">
        <f t="shared" si="41"/>
        <v>150</v>
      </c>
      <c r="H33">
        <v>8</v>
      </c>
      <c r="I33">
        <f t="shared" si="0"/>
        <v>13.75</v>
      </c>
      <c r="J33">
        <f t="shared" si="50"/>
        <v>0.28322516543968385</v>
      </c>
      <c r="K33">
        <f t="shared" si="42"/>
        <v>0.55000000000000004</v>
      </c>
      <c r="L33">
        <f t="shared" si="25"/>
        <v>10</v>
      </c>
      <c r="M33">
        <v>2.5</v>
      </c>
      <c r="N33">
        <f t="shared" si="43"/>
        <v>310</v>
      </c>
      <c r="O33">
        <f t="shared" si="51"/>
        <v>202100</v>
      </c>
      <c r="P33">
        <f t="shared" si="52"/>
        <v>3520</v>
      </c>
      <c r="Q33">
        <f t="shared" si="53"/>
        <v>804.24771931898704</v>
      </c>
      <c r="R33">
        <f t="shared" si="44"/>
        <v>4324.247719318987</v>
      </c>
      <c r="S33">
        <f t="shared" si="2"/>
        <v>14118333.707433984</v>
      </c>
      <c r="T33">
        <f t="shared" si="45"/>
        <v>57.139500414724267</v>
      </c>
      <c r="U33">
        <f t="shared" si="46"/>
        <v>175.01028058381661</v>
      </c>
      <c r="V33">
        <f t="shared" si="47"/>
        <v>2.1817821211038817</v>
      </c>
      <c r="W33">
        <f t="shared" si="48"/>
        <v>1340.516792988886</v>
      </c>
      <c r="X33">
        <v>256.5</v>
      </c>
      <c r="Y33">
        <f t="shared" si="3"/>
        <v>0.19134411544975446</v>
      </c>
      <c r="Z33" t="str">
        <f t="shared" si="4"/>
        <v>LC-B32</v>
      </c>
      <c r="AA33">
        <f t="shared" si="5"/>
        <v>490</v>
      </c>
      <c r="AB33">
        <f t="shared" si="54"/>
        <v>517.02058150931066</v>
      </c>
      <c r="AC33">
        <f t="shared" si="6"/>
        <v>519.7880493042129</v>
      </c>
      <c r="AD33">
        <f t="shared" si="7"/>
        <v>325.88344850615891</v>
      </c>
      <c r="AE33">
        <f t="shared" si="8"/>
        <v>451.43667752289889</v>
      </c>
      <c r="AF33">
        <f t="shared" si="49"/>
        <v>1454.2669183147323</v>
      </c>
      <c r="AG33">
        <f t="shared" si="9"/>
        <v>0.17637752517759486</v>
      </c>
    </row>
    <row r="34" spans="1:33" x14ac:dyDescent="0.25">
      <c r="A34">
        <v>33</v>
      </c>
      <c r="B34">
        <v>355</v>
      </c>
      <c r="C34">
        <v>205</v>
      </c>
      <c r="D34">
        <v>0.3</v>
      </c>
      <c r="E34">
        <v>12000</v>
      </c>
      <c r="F34">
        <v>110</v>
      </c>
      <c r="G34">
        <f t="shared" si="41"/>
        <v>150</v>
      </c>
      <c r="H34">
        <v>8</v>
      </c>
      <c r="I34">
        <f t="shared" si="0"/>
        <v>13.75</v>
      </c>
      <c r="J34">
        <f t="shared" si="50"/>
        <v>0.28322516543968385</v>
      </c>
      <c r="K34">
        <f t="shared" si="42"/>
        <v>0.55000000000000004</v>
      </c>
      <c r="L34">
        <f t="shared" si="25"/>
        <v>12</v>
      </c>
      <c r="M34">
        <v>2.5</v>
      </c>
      <c r="N34">
        <f t="shared" si="43"/>
        <v>310</v>
      </c>
      <c r="O34">
        <f t="shared" si="51"/>
        <v>202100</v>
      </c>
      <c r="P34">
        <f t="shared" si="52"/>
        <v>3520</v>
      </c>
      <c r="Q34">
        <f t="shared" si="53"/>
        <v>804.24771931898704</v>
      </c>
      <c r="R34">
        <f t="shared" si="44"/>
        <v>4324.247719318987</v>
      </c>
      <c r="S34">
        <f t="shared" si="2"/>
        <v>14118333.707433984</v>
      </c>
      <c r="T34">
        <f t="shared" si="45"/>
        <v>57.139500414724267</v>
      </c>
      <c r="U34">
        <f t="shared" si="46"/>
        <v>210.01233670057994</v>
      </c>
      <c r="V34">
        <f t="shared" si="47"/>
        <v>2.6181385453246584</v>
      </c>
      <c r="W34">
        <f t="shared" si="48"/>
        <v>1340.516792988886</v>
      </c>
      <c r="X34">
        <v>181.5</v>
      </c>
      <c r="Y34">
        <f t="shared" si="3"/>
        <v>0.13539554368082041</v>
      </c>
      <c r="Z34" t="str">
        <f t="shared" si="4"/>
        <v>LC-B33</v>
      </c>
      <c r="AA34">
        <f t="shared" si="5"/>
        <v>490</v>
      </c>
      <c r="AB34">
        <f t="shared" si="54"/>
        <v>517.02058150931066</v>
      </c>
      <c r="AC34">
        <f t="shared" si="6"/>
        <v>519.7880493042129</v>
      </c>
      <c r="AD34">
        <f t="shared" si="7"/>
        <v>325.88344850615891</v>
      </c>
      <c r="AE34">
        <f t="shared" si="8"/>
        <v>451.43667752289889</v>
      </c>
      <c r="AF34">
        <f t="shared" si="49"/>
        <v>1454.2669183147323</v>
      </c>
      <c r="AG34">
        <f t="shared" si="9"/>
        <v>0.1248051493946724</v>
      </c>
    </row>
    <row r="35" spans="1:33" x14ac:dyDescent="0.25">
      <c r="A35">
        <v>34</v>
      </c>
      <c r="B35">
        <v>355</v>
      </c>
      <c r="C35">
        <v>205</v>
      </c>
      <c r="D35">
        <v>0.4</v>
      </c>
      <c r="E35">
        <v>1000</v>
      </c>
      <c r="F35">
        <v>110</v>
      </c>
      <c r="G35">
        <f>F35+2*H35*M35</f>
        <v>150</v>
      </c>
      <c r="H35">
        <v>8</v>
      </c>
      <c r="I35">
        <f t="shared" si="0"/>
        <v>13.75</v>
      </c>
      <c r="J35">
        <f>SQRT(12*(1-0.3^2)*I35^2*N35/(4*PI()^2*O35))</f>
        <v>0.27718090138338314</v>
      </c>
      <c r="K35">
        <f>H35*I35/200</f>
        <v>0.55000000000000004</v>
      </c>
      <c r="L35">
        <f t="shared" ref="L35:L45" si="55">E35/1000</f>
        <v>1</v>
      </c>
      <c r="M35">
        <v>2.5</v>
      </c>
      <c r="N35">
        <f>D35*C35+(1-D35)*B35</f>
        <v>295</v>
      </c>
      <c r="O35">
        <f>193000*D35+(1-D35)*206000</f>
        <v>200800</v>
      </c>
      <c r="P35">
        <f>H35*I35*H35*4</f>
        <v>3520</v>
      </c>
      <c r="Q35">
        <f>PI()*(M35*H35)^2-PI()*((M35-1)*H35)^2</f>
        <v>804.24771931898704</v>
      </c>
      <c r="R35">
        <f>P35+Q35</f>
        <v>4324.247719318987</v>
      </c>
      <c r="S35">
        <f t="shared" si="2"/>
        <v>14118333.707433984</v>
      </c>
      <c r="T35">
        <f>SQRT(S35/R35)</f>
        <v>57.139500414724267</v>
      </c>
      <c r="U35">
        <f>E35/T35</f>
        <v>17.50102805838166</v>
      </c>
      <c r="V35">
        <f>U35/PI()*SQRT(N35/O35)</f>
        <v>0.2135221049340377</v>
      </c>
      <c r="W35">
        <f>R35*N35/1000</f>
        <v>1275.6530771991013</v>
      </c>
      <c r="X35">
        <v>1362.6</v>
      </c>
      <c r="Y35">
        <f t="shared" si="3"/>
        <v>1.0681587528419596</v>
      </c>
      <c r="Z35" t="str">
        <f t="shared" si="4"/>
        <v>LC-B34</v>
      </c>
      <c r="AA35">
        <f t="shared" si="5"/>
        <v>490</v>
      </c>
      <c r="AB35">
        <f>C35/(0.2+185*C35/193000)</f>
        <v>517.02058150931066</v>
      </c>
      <c r="AC35">
        <f t="shared" si="6"/>
        <v>519.7880493042129</v>
      </c>
      <c r="AD35">
        <f t="shared" si="7"/>
        <v>325.88344850615891</v>
      </c>
      <c r="AE35">
        <f t="shared" si="8"/>
        <v>430.59193293710808</v>
      </c>
      <c r="AF35">
        <f>(AE35*Q35+N35*P35)/1000</f>
        <v>1384.7025800218232</v>
      </c>
      <c r="AG35">
        <f t="shared" si="9"/>
        <v>0.98403803073619245</v>
      </c>
    </row>
    <row r="36" spans="1:33" x14ac:dyDescent="0.25">
      <c r="A36">
        <v>35</v>
      </c>
      <c r="B36">
        <v>355</v>
      </c>
      <c r="C36">
        <v>205</v>
      </c>
      <c r="D36">
        <v>0.4</v>
      </c>
      <c r="E36">
        <v>2000</v>
      </c>
      <c r="F36">
        <v>110</v>
      </c>
      <c r="G36">
        <f t="shared" ref="G36:G45" si="56">F36+2*H36*M36</f>
        <v>150</v>
      </c>
      <c r="H36">
        <v>8</v>
      </c>
      <c r="I36">
        <f t="shared" si="0"/>
        <v>13.75</v>
      </c>
      <c r="J36">
        <f>SQRT(12*(1-0.3^2)*I36^2*N36/(4*PI()^2*O36))</f>
        <v>0.27718090138338314</v>
      </c>
      <c r="K36">
        <f t="shared" ref="K36:K45" si="57">H36*I36/200</f>
        <v>0.55000000000000004</v>
      </c>
      <c r="L36">
        <f t="shared" si="55"/>
        <v>2</v>
      </c>
      <c r="M36">
        <v>2.5</v>
      </c>
      <c r="N36">
        <f t="shared" ref="N36:N45" si="58">D36*C36+(1-D36)*B36</f>
        <v>295</v>
      </c>
      <c r="O36">
        <f>193000*D36+(1-D36)*206000</f>
        <v>200800</v>
      </c>
      <c r="P36">
        <f>H36*I36*H36*4</f>
        <v>3520</v>
      </c>
      <c r="Q36">
        <f>PI()*(M36*H36)^2-PI()*((M36-1)*H36)^2</f>
        <v>804.24771931898704</v>
      </c>
      <c r="R36">
        <f t="shared" ref="R36:R45" si="59">P36+Q36</f>
        <v>4324.247719318987</v>
      </c>
      <c r="S36">
        <f t="shared" si="2"/>
        <v>14118333.707433984</v>
      </c>
      <c r="T36">
        <f t="shared" ref="T36:T45" si="60">SQRT(S36/R36)</f>
        <v>57.139500414724267</v>
      </c>
      <c r="U36">
        <f t="shared" ref="U36:U45" si="61">E36/T36</f>
        <v>35.00205611676332</v>
      </c>
      <c r="V36">
        <f t="shared" ref="V36:V45" si="62">U36/PI()*SQRT(N36/O36)</f>
        <v>0.4270442098680754</v>
      </c>
      <c r="W36">
        <f t="shared" ref="W36:W45" si="63">R36*N36/1000</f>
        <v>1275.6530771991013</v>
      </c>
      <c r="X36">
        <v>1187.5</v>
      </c>
      <c r="Y36">
        <f t="shared" si="3"/>
        <v>0.93089572801983489</v>
      </c>
      <c r="Z36" t="str">
        <f t="shared" si="4"/>
        <v>LC-B35</v>
      </c>
      <c r="AA36">
        <f t="shared" si="5"/>
        <v>490</v>
      </c>
      <c r="AB36">
        <f>C36/(0.2+185*C36/193000)</f>
        <v>517.02058150931066</v>
      </c>
      <c r="AC36">
        <f t="shared" si="6"/>
        <v>519.7880493042129</v>
      </c>
      <c r="AD36">
        <f t="shared" si="7"/>
        <v>325.88344850615891</v>
      </c>
      <c r="AE36">
        <f t="shared" si="8"/>
        <v>430.59193293710808</v>
      </c>
      <c r="AF36">
        <f t="shared" ref="AF36:AF43" si="64">(AE36*Q36+N36*P36)/1000</f>
        <v>1384.7025800218232</v>
      </c>
      <c r="AG36">
        <f t="shared" si="9"/>
        <v>0.85758488294380497</v>
      </c>
    </row>
    <row r="37" spans="1:33" x14ac:dyDescent="0.25">
      <c r="A37">
        <v>36</v>
      </c>
      <c r="B37">
        <v>355</v>
      </c>
      <c r="C37">
        <v>205</v>
      </c>
      <c r="D37">
        <v>0.4</v>
      </c>
      <c r="E37">
        <v>3000</v>
      </c>
      <c r="F37">
        <v>110</v>
      </c>
      <c r="G37">
        <f t="shared" si="56"/>
        <v>150</v>
      </c>
      <c r="H37">
        <v>8</v>
      </c>
      <c r="I37">
        <f t="shared" si="0"/>
        <v>13.75</v>
      </c>
      <c r="J37">
        <f>SQRT(12*(1-0.3^2)*I37^2*N37/(4*PI()^2*O37))</f>
        <v>0.27718090138338314</v>
      </c>
      <c r="K37">
        <f t="shared" si="57"/>
        <v>0.55000000000000004</v>
      </c>
      <c r="L37">
        <f t="shared" si="55"/>
        <v>3</v>
      </c>
      <c r="M37">
        <v>2.5</v>
      </c>
      <c r="N37">
        <f t="shared" si="58"/>
        <v>295</v>
      </c>
      <c r="O37">
        <f>193000*D37+(1-D37)*206000</f>
        <v>200800</v>
      </c>
      <c r="P37">
        <f>H37*I37*H37*4</f>
        <v>3520</v>
      </c>
      <c r="Q37">
        <f>PI()*(M37*H37)^2-PI()*((M37-1)*H37)^2</f>
        <v>804.24771931898704</v>
      </c>
      <c r="R37">
        <f t="shared" si="59"/>
        <v>4324.247719318987</v>
      </c>
      <c r="S37">
        <f t="shared" si="2"/>
        <v>14118333.707433984</v>
      </c>
      <c r="T37">
        <f t="shared" si="60"/>
        <v>57.139500414724267</v>
      </c>
      <c r="U37">
        <f t="shared" si="61"/>
        <v>52.503084175144984</v>
      </c>
      <c r="V37">
        <f t="shared" si="62"/>
        <v>0.64056631480211312</v>
      </c>
      <c r="W37">
        <f t="shared" si="63"/>
        <v>1275.6530771991013</v>
      </c>
      <c r="X37">
        <v>1040.5999999999999</v>
      </c>
      <c r="Y37">
        <f t="shared" si="3"/>
        <v>0.81573902701258116</v>
      </c>
      <c r="Z37" t="str">
        <f t="shared" si="4"/>
        <v>LC-B36</v>
      </c>
      <c r="AA37">
        <f t="shared" si="5"/>
        <v>490</v>
      </c>
      <c r="AB37">
        <f>C37/(0.2+185*C37/193000)</f>
        <v>517.02058150931066</v>
      </c>
      <c r="AC37">
        <f t="shared" si="6"/>
        <v>519.7880493042129</v>
      </c>
      <c r="AD37">
        <f t="shared" si="7"/>
        <v>325.88344850615891</v>
      </c>
      <c r="AE37">
        <f t="shared" si="8"/>
        <v>430.59193293710808</v>
      </c>
      <c r="AF37">
        <f t="shared" si="64"/>
        <v>1384.7025800218232</v>
      </c>
      <c r="AG37">
        <f t="shared" si="9"/>
        <v>0.7514971193190092</v>
      </c>
    </row>
    <row r="38" spans="1:33" x14ac:dyDescent="0.25">
      <c r="A38">
        <v>37</v>
      </c>
      <c r="B38">
        <v>355</v>
      </c>
      <c r="C38">
        <v>205</v>
      </c>
      <c r="D38">
        <v>0.4</v>
      </c>
      <c r="E38">
        <v>4000</v>
      </c>
      <c r="F38">
        <v>110</v>
      </c>
      <c r="G38">
        <f t="shared" si="56"/>
        <v>150</v>
      </c>
      <c r="H38">
        <v>8</v>
      </c>
      <c r="I38">
        <f t="shared" si="0"/>
        <v>13.75</v>
      </c>
      <c r="J38">
        <f t="shared" ref="J38:J45" si="65">SQRT(12*(1-0.3^2)*I38^2*N38/(4*PI()^2*O38))</f>
        <v>0.27718090138338314</v>
      </c>
      <c r="K38">
        <f t="shared" si="57"/>
        <v>0.55000000000000004</v>
      </c>
      <c r="L38">
        <f t="shared" si="55"/>
        <v>4</v>
      </c>
      <c r="M38">
        <v>2.5</v>
      </c>
      <c r="N38">
        <f t="shared" si="58"/>
        <v>295</v>
      </c>
      <c r="O38">
        <f t="shared" ref="O38:O45" si="66">193000*D38+(1-D38)*206000</f>
        <v>200800</v>
      </c>
      <c r="P38">
        <f t="shared" ref="P38:P45" si="67">H38*I38*H38*4</f>
        <v>3520</v>
      </c>
      <c r="Q38">
        <f t="shared" ref="Q38:Q45" si="68">PI()*(M38*H38)^2-PI()*((M38-1)*H38)^2</f>
        <v>804.24771931898704</v>
      </c>
      <c r="R38">
        <f t="shared" si="59"/>
        <v>4324.247719318987</v>
      </c>
      <c r="S38">
        <f t="shared" si="2"/>
        <v>14118333.707433984</v>
      </c>
      <c r="T38">
        <f t="shared" si="60"/>
        <v>57.139500414724267</v>
      </c>
      <c r="U38">
        <f t="shared" si="61"/>
        <v>70.004112233526641</v>
      </c>
      <c r="V38">
        <f t="shared" si="62"/>
        <v>0.85408841973615079</v>
      </c>
      <c r="W38">
        <f t="shared" si="63"/>
        <v>1275.6530771991013</v>
      </c>
      <c r="X38">
        <v>909.3</v>
      </c>
      <c r="Y38">
        <f t="shared" si="3"/>
        <v>0.71281135620078806</v>
      </c>
      <c r="Z38" t="str">
        <f t="shared" si="4"/>
        <v>LC-B37</v>
      </c>
      <c r="AA38">
        <f t="shared" si="5"/>
        <v>490</v>
      </c>
      <c r="AB38">
        <f t="shared" ref="AB38:AB43" si="69">C38/(0.2+185*C38/193000)</f>
        <v>517.02058150931066</v>
      </c>
      <c r="AC38">
        <f t="shared" si="6"/>
        <v>519.7880493042129</v>
      </c>
      <c r="AD38">
        <f t="shared" si="7"/>
        <v>325.88344850615891</v>
      </c>
      <c r="AE38">
        <f t="shared" si="8"/>
        <v>430.59193293710808</v>
      </c>
      <c r="AF38">
        <f t="shared" si="64"/>
        <v>1384.7025800218232</v>
      </c>
      <c r="AG38">
        <f t="shared" si="9"/>
        <v>0.65667531289330683</v>
      </c>
    </row>
    <row r="39" spans="1:33" x14ac:dyDescent="0.25">
      <c r="A39">
        <v>38</v>
      </c>
      <c r="B39">
        <v>355</v>
      </c>
      <c r="C39">
        <v>205</v>
      </c>
      <c r="D39">
        <v>0.4</v>
      </c>
      <c r="E39">
        <v>5000</v>
      </c>
      <c r="F39">
        <v>110</v>
      </c>
      <c r="G39">
        <f t="shared" si="56"/>
        <v>150</v>
      </c>
      <c r="H39">
        <v>8</v>
      </c>
      <c r="I39">
        <f t="shared" si="0"/>
        <v>13.75</v>
      </c>
      <c r="J39">
        <f t="shared" si="65"/>
        <v>0.27718090138338314</v>
      </c>
      <c r="K39">
        <f t="shared" si="57"/>
        <v>0.55000000000000004</v>
      </c>
      <c r="L39">
        <f t="shared" si="55"/>
        <v>5</v>
      </c>
      <c r="M39">
        <v>2.5</v>
      </c>
      <c r="N39">
        <f t="shared" si="58"/>
        <v>295</v>
      </c>
      <c r="O39">
        <f t="shared" si="66"/>
        <v>200800</v>
      </c>
      <c r="P39">
        <f t="shared" si="67"/>
        <v>3520</v>
      </c>
      <c r="Q39">
        <f t="shared" si="68"/>
        <v>804.24771931898704</v>
      </c>
      <c r="R39">
        <f t="shared" si="59"/>
        <v>4324.247719318987</v>
      </c>
      <c r="S39">
        <f t="shared" si="2"/>
        <v>14118333.707433984</v>
      </c>
      <c r="T39">
        <f t="shared" si="60"/>
        <v>57.139500414724267</v>
      </c>
      <c r="U39">
        <f t="shared" si="61"/>
        <v>87.505140291908305</v>
      </c>
      <c r="V39">
        <f t="shared" si="62"/>
        <v>1.0676105246701884</v>
      </c>
      <c r="W39">
        <f t="shared" si="63"/>
        <v>1275.6530771991013</v>
      </c>
      <c r="X39">
        <v>760.5</v>
      </c>
      <c r="Y39">
        <f t="shared" si="3"/>
        <v>0.5961652220287027</v>
      </c>
      <c r="Z39" t="str">
        <f t="shared" si="4"/>
        <v>LC-B38</v>
      </c>
      <c r="AA39">
        <f t="shared" si="5"/>
        <v>490</v>
      </c>
      <c r="AB39">
        <f t="shared" si="69"/>
        <v>517.02058150931066</v>
      </c>
      <c r="AC39">
        <f t="shared" si="6"/>
        <v>519.7880493042129</v>
      </c>
      <c r="AD39">
        <f t="shared" si="7"/>
        <v>325.88344850615891</v>
      </c>
      <c r="AE39">
        <f t="shared" si="8"/>
        <v>430.59193293710808</v>
      </c>
      <c r="AF39">
        <f t="shared" si="64"/>
        <v>1384.7025800218232</v>
      </c>
      <c r="AG39">
        <f t="shared" si="9"/>
        <v>0.54921541345580094</v>
      </c>
    </row>
    <row r="40" spans="1:33" x14ac:dyDescent="0.25">
      <c r="A40">
        <v>39</v>
      </c>
      <c r="B40">
        <v>355</v>
      </c>
      <c r="C40">
        <v>205</v>
      </c>
      <c r="D40">
        <v>0.4</v>
      </c>
      <c r="E40">
        <v>6000</v>
      </c>
      <c r="F40">
        <v>110</v>
      </c>
      <c r="G40">
        <f t="shared" si="56"/>
        <v>150</v>
      </c>
      <c r="H40">
        <v>8</v>
      </c>
      <c r="I40">
        <f t="shared" si="0"/>
        <v>13.75</v>
      </c>
      <c r="J40">
        <f t="shared" si="65"/>
        <v>0.27718090138338314</v>
      </c>
      <c r="K40">
        <f t="shared" si="57"/>
        <v>0.55000000000000004</v>
      </c>
      <c r="L40">
        <f t="shared" si="55"/>
        <v>6</v>
      </c>
      <c r="M40">
        <v>2.5</v>
      </c>
      <c r="N40">
        <f t="shared" si="58"/>
        <v>295</v>
      </c>
      <c r="O40">
        <f t="shared" si="66"/>
        <v>200800</v>
      </c>
      <c r="P40">
        <f t="shared" si="67"/>
        <v>3520</v>
      </c>
      <c r="Q40">
        <f t="shared" si="68"/>
        <v>804.24771931898704</v>
      </c>
      <c r="R40">
        <f t="shared" si="59"/>
        <v>4324.247719318987</v>
      </c>
      <c r="S40">
        <f t="shared" si="2"/>
        <v>14118333.707433984</v>
      </c>
      <c r="T40">
        <f t="shared" si="60"/>
        <v>57.139500414724267</v>
      </c>
      <c r="U40">
        <f t="shared" si="61"/>
        <v>105.00616835028997</v>
      </c>
      <c r="V40">
        <f t="shared" si="62"/>
        <v>1.2811326296042262</v>
      </c>
      <c r="W40">
        <f t="shared" si="63"/>
        <v>1275.6530771991013</v>
      </c>
      <c r="X40">
        <v>610.5</v>
      </c>
      <c r="Y40">
        <f t="shared" si="3"/>
        <v>0.47857839322619722</v>
      </c>
      <c r="Z40" t="str">
        <f t="shared" si="4"/>
        <v>LC-B39</v>
      </c>
      <c r="AA40">
        <f t="shared" si="5"/>
        <v>490</v>
      </c>
      <c r="AB40">
        <f t="shared" si="69"/>
        <v>517.02058150931066</v>
      </c>
      <c r="AC40">
        <f t="shared" si="6"/>
        <v>519.7880493042129</v>
      </c>
      <c r="AD40">
        <f t="shared" si="7"/>
        <v>325.88344850615891</v>
      </c>
      <c r="AE40">
        <f t="shared" si="8"/>
        <v>430.59193293710808</v>
      </c>
      <c r="AF40">
        <f t="shared" si="64"/>
        <v>1384.7025800218232</v>
      </c>
      <c r="AG40">
        <f t="shared" si="9"/>
        <v>0.44088890192605723</v>
      </c>
    </row>
    <row r="41" spans="1:33" x14ac:dyDescent="0.25">
      <c r="A41">
        <v>40</v>
      </c>
      <c r="B41">
        <v>355</v>
      </c>
      <c r="C41">
        <v>205</v>
      </c>
      <c r="D41">
        <v>0.4</v>
      </c>
      <c r="E41">
        <v>7000</v>
      </c>
      <c r="F41">
        <v>110</v>
      </c>
      <c r="G41">
        <f t="shared" si="56"/>
        <v>150</v>
      </c>
      <c r="H41">
        <v>8</v>
      </c>
      <c r="I41">
        <f t="shared" si="0"/>
        <v>13.75</v>
      </c>
      <c r="J41">
        <f t="shared" si="65"/>
        <v>0.27718090138338314</v>
      </c>
      <c r="K41">
        <f t="shared" si="57"/>
        <v>0.55000000000000004</v>
      </c>
      <c r="L41">
        <f t="shared" si="55"/>
        <v>7</v>
      </c>
      <c r="M41">
        <v>2.5</v>
      </c>
      <c r="N41">
        <f t="shared" si="58"/>
        <v>295</v>
      </c>
      <c r="O41">
        <f t="shared" si="66"/>
        <v>200800</v>
      </c>
      <c r="P41">
        <f t="shared" si="67"/>
        <v>3520</v>
      </c>
      <c r="Q41">
        <f t="shared" si="68"/>
        <v>804.24771931898704</v>
      </c>
      <c r="R41">
        <f t="shared" si="59"/>
        <v>4324.247719318987</v>
      </c>
      <c r="S41">
        <f t="shared" si="2"/>
        <v>14118333.707433984</v>
      </c>
      <c r="T41">
        <f t="shared" si="60"/>
        <v>57.139500414724267</v>
      </c>
      <c r="U41">
        <f t="shared" si="61"/>
        <v>122.50719640867163</v>
      </c>
      <c r="V41">
        <f t="shared" si="62"/>
        <v>1.4946547345382637</v>
      </c>
      <c r="W41">
        <f t="shared" si="63"/>
        <v>1275.6530771991013</v>
      </c>
      <c r="X41">
        <v>480.2</v>
      </c>
      <c r="Y41">
        <f t="shared" si="3"/>
        <v>0.37643463460642079</v>
      </c>
      <c r="Z41" t="str">
        <f t="shared" si="4"/>
        <v>LC-B40</v>
      </c>
      <c r="AA41">
        <f t="shared" si="5"/>
        <v>490</v>
      </c>
      <c r="AB41">
        <f t="shared" si="69"/>
        <v>517.02058150931066</v>
      </c>
      <c r="AC41">
        <f t="shared" si="6"/>
        <v>519.7880493042129</v>
      </c>
      <c r="AD41">
        <f t="shared" si="7"/>
        <v>325.88344850615891</v>
      </c>
      <c r="AE41">
        <f t="shared" si="8"/>
        <v>430.59193293710808</v>
      </c>
      <c r="AF41">
        <f t="shared" si="64"/>
        <v>1384.7025800218232</v>
      </c>
      <c r="AG41">
        <f t="shared" si="9"/>
        <v>0.34678927224388645</v>
      </c>
    </row>
    <row r="42" spans="1:33" x14ac:dyDescent="0.25">
      <c r="A42">
        <v>41</v>
      </c>
      <c r="B42">
        <v>355</v>
      </c>
      <c r="C42">
        <v>205</v>
      </c>
      <c r="D42">
        <v>0.4</v>
      </c>
      <c r="E42">
        <v>8000</v>
      </c>
      <c r="F42">
        <v>110</v>
      </c>
      <c r="G42">
        <f t="shared" si="56"/>
        <v>150</v>
      </c>
      <c r="H42">
        <v>8</v>
      </c>
      <c r="I42">
        <f t="shared" si="0"/>
        <v>13.75</v>
      </c>
      <c r="J42">
        <f t="shared" si="65"/>
        <v>0.27718090138338314</v>
      </c>
      <c r="K42">
        <f t="shared" si="57"/>
        <v>0.55000000000000004</v>
      </c>
      <c r="L42">
        <f t="shared" si="55"/>
        <v>8</v>
      </c>
      <c r="M42">
        <v>2.5</v>
      </c>
      <c r="N42">
        <f t="shared" si="58"/>
        <v>295</v>
      </c>
      <c r="O42">
        <f t="shared" si="66"/>
        <v>200800</v>
      </c>
      <c r="P42">
        <f t="shared" si="67"/>
        <v>3520</v>
      </c>
      <c r="Q42">
        <f t="shared" si="68"/>
        <v>804.24771931898704</v>
      </c>
      <c r="R42">
        <f t="shared" si="59"/>
        <v>4324.247719318987</v>
      </c>
      <c r="S42">
        <f t="shared" si="2"/>
        <v>14118333.707433984</v>
      </c>
      <c r="T42">
        <f t="shared" si="60"/>
        <v>57.139500414724267</v>
      </c>
      <c r="U42">
        <f t="shared" si="61"/>
        <v>140.00822446705328</v>
      </c>
      <c r="V42">
        <f t="shared" si="62"/>
        <v>1.7081768394723016</v>
      </c>
      <c r="W42">
        <f t="shared" si="63"/>
        <v>1275.6530771991013</v>
      </c>
      <c r="X42">
        <v>381.2</v>
      </c>
      <c r="Y42">
        <f t="shared" si="3"/>
        <v>0.29882732759676717</v>
      </c>
      <c r="Z42" t="str">
        <f t="shared" si="4"/>
        <v>LC-B41</v>
      </c>
      <c r="AA42">
        <f t="shared" si="5"/>
        <v>490</v>
      </c>
      <c r="AB42">
        <f t="shared" si="69"/>
        <v>517.02058150931066</v>
      </c>
      <c r="AC42">
        <f t="shared" si="6"/>
        <v>519.7880493042129</v>
      </c>
      <c r="AD42">
        <f t="shared" si="7"/>
        <v>325.88344850615891</v>
      </c>
      <c r="AE42">
        <f t="shared" si="8"/>
        <v>430.59193293710808</v>
      </c>
      <c r="AF42">
        <f t="shared" si="64"/>
        <v>1384.7025800218232</v>
      </c>
      <c r="AG42">
        <f t="shared" si="9"/>
        <v>0.27529377463425553</v>
      </c>
    </row>
    <row r="43" spans="1:33" x14ac:dyDescent="0.25">
      <c r="A43">
        <v>42</v>
      </c>
      <c r="B43">
        <v>355</v>
      </c>
      <c r="C43">
        <v>205</v>
      </c>
      <c r="D43">
        <v>0.4</v>
      </c>
      <c r="E43">
        <v>9000</v>
      </c>
      <c r="F43">
        <v>110</v>
      </c>
      <c r="G43">
        <f t="shared" si="56"/>
        <v>150</v>
      </c>
      <c r="H43">
        <v>8</v>
      </c>
      <c r="I43">
        <f t="shared" si="0"/>
        <v>13.75</v>
      </c>
      <c r="J43">
        <f t="shared" si="65"/>
        <v>0.27718090138338314</v>
      </c>
      <c r="K43">
        <f t="shared" si="57"/>
        <v>0.55000000000000004</v>
      </c>
      <c r="L43">
        <f t="shared" si="55"/>
        <v>9</v>
      </c>
      <c r="M43">
        <v>2.5</v>
      </c>
      <c r="N43">
        <f t="shared" si="58"/>
        <v>295</v>
      </c>
      <c r="O43">
        <f t="shared" si="66"/>
        <v>200800</v>
      </c>
      <c r="P43">
        <f t="shared" si="67"/>
        <v>3520</v>
      </c>
      <c r="Q43">
        <f t="shared" si="68"/>
        <v>804.24771931898704</v>
      </c>
      <c r="R43">
        <f t="shared" si="59"/>
        <v>4324.247719318987</v>
      </c>
      <c r="S43">
        <f t="shared" si="2"/>
        <v>14118333.707433984</v>
      </c>
      <c r="T43">
        <f t="shared" si="60"/>
        <v>57.139500414724267</v>
      </c>
      <c r="U43">
        <f t="shared" si="61"/>
        <v>157.50925252543496</v>
      </c>
      <c r="V43">
        <f t="shared" si="62"/>
        <v>1.9216989444063393</v>
      </c>
      <c r="W43">
        <f t="shared" si="63"/>
        <v>1275.6530771991013</v>
      </c>
      <c r="X43">
        <v>308.5</v>
      </c>
      <c r="Y43">
        <f t="shared" si="3"/>
        <v>0.2418369112371529</v>
      </c>
      <c r="Z43" t="str">
        <f t="shared" si="4"/>
        <v>LC-B42</v>
      </c>
      <c r="AA43">
        <f t="shared" si="5"/>
        <v>490</v>
      </c>
      <c r="AB43">
        <f t="shared" si="69"/>
        <v>517.02058150931066</v>
      </c>
      <c r="AC43">
        <f t="shared" si="6"/>
        <v>519.7880493042129</v>
      </c>
      <c r="AD43">
        <f t="shared" si="7"/>
        <v>325.88344850615891</v>
      </c>
      <c r="AE43">
        <f t="shared" si="8"/>
        <v>430.59193293710808</v>
      </c>
      <c r="AF43">
        <f t="shared" si="64"/>
        <v>1384.7025800218232</v>
      </c>
      <c r="AG43">
        <f t="shared" si="9"/>
        <v>0.22279152537950639</v>
      </c>
    </row>
    <row r="44" spans="1:33" x14ac:dyDescent="0.25">
      <c r="A44">
        <v>43</v>
      </c>
      <c r="B44">
        <v>355</v>
      </c>
      <c r="C44">
        <v>205</v>
      </c>
      <c r="D44">
        <v>0.4</v>
      </c>
      <c r="E44">
        <v>10000</v>
      </c>
      <c r="F44">
        <v>110</v>
      </c>
      <c r="G44">
        <f t="shared" si="56"/>
        <v>150</v>
      </c>
      <c r="H44">
        <v>8</v>
      </c>
      <c r="I44">
        <f t="shared" si="0"/>
        <v>13.75</v>
      </c>
      <c r="J44">
        <f t="shared" si="65"/>
        <v>0.27718090138338314</v>
      </c>
      <c r="K44">
        <f t="shared" si="57"/>
        <v>0.55000000000000004</v>
      </c>
      <c r="L44">
        <f t="shared" si="55"/>
        <v>10</v>
      </c>
      <c r="M44">
        <v>2.5</v>
      </c>
      <c r="N44">
        <f t="shared" si="58"/>
        <v>295</v>
      </c>
      <c r="O44">
        <f t="shared" si="66"/>
        <v>200800</v>
      </c>
      <c r="P44">
        <f t="shared" si="67"/>
        <v>3520</v>
      </c>
      <c r="Q44">
        <f t="shared" si="68"/>
        <v>804.24771931898704</v>
      </c>
      <c r="R44">
        <f t="shared" si="59"/>
        <v>4324.247719318987</v>
      </c>
      <c r="S44">
        <f t="shared" si="2"/>
        <v>14118333.707433984</v>
      </c>
      <c r="T44">
        <f t="shared" si="60"/>
        <v>57.139500414724267</v>
      </c>
      <c r="U44">
        <f t="shared" si="61"/>
        <v>175.01028058381661</v>
      </c>
      <c r="V44">
        <f t="shared" si="62"/>
        <v>2.1352210493403767</v>
      </c>
      <c r="W44">
        <f t="shared" si="63"/>
        <v>1275.6530771991013</v>
      </c>
      <c r="X44">
        <v>253.9</v>
      </c>
      <c r="Y44">
        <f t="shared" si="3"/>
        <v>0.19903530555304091</v>
      </c>
      <c r="Z44" t="str">
        <f t="shared" si="4"/>
        <v>LC-B43</v>
      </c>
      <c r="AA44">
        <f t="shared" si="5"/>
        <v>490</v>
      </c>
      <c r="AB44">
        <f>C44/(0.2+185*C44/193000)</f>
        <v>517.02058150931066</v>
      </c>
      <c r="AC44">
        <f t="shared" si="6"/>
        <v>519.7880493042129</v>
      </c>
      <c r="AD44">
        <f t="shared" si="7"/>
        <v>325.88344850615891</v>
      </c>
      <c r="AE44">
        <f t="shared" si="8"/>
        <v>430.59193293710808</v>
      </c>
      <c r="AF44">
        <f>(AE44*Q44+N44*P44)/1000</f>
        <v>1384.7025800218232</v>
      </c>
      <c r="AG44">
        <f t="shared" si="9"/>
        <v>0.18336067518267965</v>
      </c>
    </row>
    <row r="45" spans="1:33" x14ac:dyDescent="0.25">
      <c r="A45">
        <v>44</v>
      </c>
      <c r="B45">
        <v>355</v>
      </c>
      <c r="C45">
        <v>205</v>
      </c>
      <c r="D45">
        <v>0.4</v>
      </c>
      <c r="E45">
        <v>12000</v>
      </c>
      <c r="F45">
        <v>110</v>
      </c>
      <c r="G45">
        <f t="shared" si="56"/>
        <v>150</v>
      </c>
      <c r="H45">
        <v>8</v>
      </c>
      <c r="I45">
        <f t="shared" si="0"/>
        <v>13.75</v>
      </c>
      <c r="J45">
        <f t="shared" si="65"/>
        <v>0.27718090138338314</v>
      </c>
      <c r="K45">
        <f t="shared" si="57"/>
        <v>0.55000000000000004</v>
      </c>
      <c r="L45">
        <f t="shared" si="55"/>
        <v>12</v>
      </c>
      <c r="M45">
        <v>2.5</v>
      </c>
      <c r="N45">
        <f t="shared" si="58"/>
        <v>295</v>
      </c>
      <c r="O45">
        <f t="shared" si="66"/>
        <v>200800</v>
      </c>
      <c r="P45">
        <f t="shared" si="67"/>
        <v>3520</v>
      </c>
      <c r="Q45">
        <f t="shared" si="68"/>
        <v>804.24771931898704</v>
      </c>
      <c r="R45">
        <f t="shared" si="59"/>
        <v>4324.247719318987</v>
      </c>
      <c r="S45">
        <f t="shared" si="2"/>
        <v>14118333.707433984</v>
      </c>
      <c r="T45">
        <f t="shared" si="60"/>
        <v>57.139500414724267</v>
      </c>
      <c r="U45">
        <f t="shared" si="61"/>
        <v>210.01233670057994</v>
      </c>
      <c r="V45">
        <f t="shared" si="62"/>
        <v>2.5622652592084525</v>
      </c>
      <c r="W45">
        <f t="shared" si="63"/>
        <v>1275.6530771991013</v>
      </c>
      <c r="X45">
        <v>179.9</v>
      </c>
      <c r="Y45">
        <f t="shared" si="3"/>
        <v>0.14102580334380488</v>
      </c>
      <c r="Z45" t="str">
        <f t="shared" si="4"/>
        <v>LC-B44</v>
      </c>
      <c r="AA45">
        <f t="shared" si="5"/>
        <v>490</v>
      </c>
      <c r="AB45">
        <f>C45/(0.2+185*C45/193000)</f>
        <v>517.02058150931066</v>
      </c>
      <c r="AC45">
        <f t="shared" si="6"/>
        <v>519.7880493042129</v>
      </c>
      <c r="AD45">
        <f t="shared" si="7"/>
        <v>325.88344850615891</v>
      </c>
      <c r="AE45">
        <f t="shared" si="8"/>
        <v>430.59193293710808</v>
      </c>
      <c r="AF45">
        <f t="shared" ref="AF45:AF52" si="70">(AE45*Q45+N45*P45)/1000</f>
        <v>1384.7025800218232</v>
      </c>
      <c r="AG45">
        <f t="shared" si="9"/>
        <v>0.12991959616133938</v>
      </c>
    </row>
    <row r="46" spans="1:33" x14ac:dyDescent="0.25">
      <c r="A46">
        <v>45</v>
      </c>
      <c r="B46">
        <v>355</v>
      </c>
      <c r="C46">
        <v>205</v>
      </c>
      <c r="D46">
        <v>0.5</v>
      </c>
      <c r="E46">
        <v>1000</v>
      </c>
      <c r="F46">
        <v>110</v>
      </c>
      <c r="G46">
        <f>F46+2*H46*M46</f>
        <v>150</v>
      </c>
      <c r="H46">
        <v>8</v>
      </c>
      <c r="I46">
        <f t="shared" si="0"/>
        <v>13.75</v>
      </c>
      <c r="J46">
        <f>SQRT(12*(1-0.3^2)*I46^2*N46/(4*PI()^2*O46))</f>
        <v>0.27092040405733725</v>
      </c>
      <c r="K46">
        <f>H46*I46/200</f>
        <v>0.55000000000000004</v>
      </c>
      <c r="L46">
        <f t="shared" ref="L46:L78" si="71">E46/1000</f>
        <v>1</v>
      </c>
      <c r="M46">
        <v>2.5</v>
      </c>
      <c r="N46">
        <f>D46*C46+(1-D46)*B46</f>
        <v>280</v>
      </c>
      <c r="O46">
        <f>193000*D46+(1-D46)*206000</f>
        <v>199500</v>
      </c>
      <c r="P46">
        <f>H46*I46*H46*4</f>
        <v>3520</v>
      </c>
      <c r="Q46">
        <f>PI()*(M46*H46)^2-PI()*((M46-1)*H46)^2</f>
        <v>804.24771931898704</v>
      </c>
      <c r="R46">
        <f>P46+Q46</f>
        <v>4324.247719318987</v>
      </c>
      <c r="S46">
        <f t="shared" si="2"/>
        <v>14118333.707433984</v>
      </c>
      <c r="T46">
        <f>SQRT(S46/R46)</f>
        <v>57.139500414724267</v>
      </c>
      <c r="U46">
        <f>E46/T46</f>
        <v>17.50102805838166</v>
      </c>
      <c r="V46">
        <f>U46/PI()*SQRT(N46/O46)</f>
        <v>0.20869942573673503</v>
      </c>
      <c r="W46">
        <f>R46*N46/1000</f>
        <v>1210.7893614093164</v>
      </c>
      <c r="X46">
        <v>1302.0999999999999</v>
      </c>
      <c r="Y46">
        <f t="shared" si="3"/>
        <v>1.0754141401477142</v>
      </c>
      <c r="Z46" t="str">
        <f t="shared" ref="Z46:Z78" si="72">"LC-B"&amp;A46</f>
        <v>LC-B45</v>
      </c>
      <c r="AA46">
        <f t="shared" si="5"/>
        <v>490</v>
      </c>
      <c r="AB46">
        <f>C46/(0.2+185*C46/193000)</f>
        <v>517.02058150931066</v>
      </c>
      <c r="AC46">
        <f t="shared" si="6"/>
        <v>519.7880493042129</v>
      </c>
      <c r="AD46">
        <f t="shared" si="7"/>
        <v>325.88344850615891</v>
      </c>
      <c r="AE46">
        <f t="shared" si="8"/>
        <v>410.71671135530755</v>
      </c>
      <c r="AF46">
        <f t="shared" si="70"/>
        <v>1315.9179783937009</v>
      </c>
      <c r="AG46">
        <f t="shared" si="9"/>
        <v>0.98949936195068322</v>
      </c>
    </row>
    <row r="47" spans="1:33" x14ac:dyDescent="0.25">
      <c r="A47">
        <v>46</v>
      </c>
      <c r="B47">
        <v>355</v>
      </c>
      <c r="C47">
        <v>205</v>
      </c>
      <c r="D47">
        <v>0.5</v>
      </c>
      <c r="E47">
        <v>2000</v>
      </c>
      <c r="F47">
        <v>110</v>
      </c>
      <c r="G47">
        <f t="shared" ref="G47:G56" si="73">F47+2*H47*M47</f>
        <v>150</v>
      </c>
      <c r="H47">
        <v>8</v>
      </c>
      <c r="I47">
        <f t="shared" si="0"/>
        <v>13.75</v>
      </c>
      <c r="J47">
        <f>SQRT(12*(1-0.3^2)*I47^2*N47/(4*PI()^2*O47))</f>
        <v>0.27092040405733725</v>
      </c>
      <c r="K47">
        <f t="shared" ref="K47:K56" si="74">H47*I47/200</f>
        <v>0.55000000000000004</v>
      </c>
      <c r="L47">
        <f t="shared" si="71"/>
        <v>2</v>
      </c>
      <c r="M47">
        <v>2.5</v>
      </c>
      <c r="N47">
        <f t="shared" ref="N47:N56" si="75">D47*C47+(1-D47)*B47</f>
        <v>280</v>
      </c>
      <c r="O47">
        <f>193000*D47+(1-D47)*206000</f>
        <v>199500</v>
      </c>
      <c r="P47">
        <f>H47*I47*H47*4</f>
        <v>3520</v>
      </c>
      <c r="Q47">
        <f>PI()*(M47*H47)^2-PI()*((M47-1)*H47)^2</f>
        <v>804.24771931898704</v>
      </c>
      <c r="R47">
        <f t="shared" ref="R47:R56" si="76">P47+Q47</f>
        <v>4324.247719318987</v>
      </c>
      <c r="S47">
        <f t="shared" si="2"/>
        <v>14118333.707433984</v>
      </c>
      <c r="T47">
        <f t="shared" ref="T47:T56" si="77">SQRT(S47/R47)</f>
        <v>57.139500414724267</v>
      </c>
      <c r="U47">
        <f t="shared" ref="U47:U56" si="78">E47/T47</f>
        <v>35.00205611676332</v>
      </c>
      <c r="V47">
        <f t="shared" ref="V47:V56" si="79">U47/PI()*SQRT(N47/O47)</f>
        <v>0.41739885147347006</v>
      </c>
      <c r="W47">
        <f t="shared" ref="W47:W56" si="80">R47*N47/1000</f>
        <v>1210.7893614093164</v>
      </c>
      <c r="X47">
        <v>1139</v>
      </c>
      <c r="Y47">
        <f t="shared" si="3"/>
        <v>0.94070862885204398</v>
      </c>
      <c r="Z47" t="str">
        <f t="shared" si="72"/>
        <v>LC-B46</v>
      </c>
      <c r="AA47">
        <f t="shared" si="5"/>
        <v>490</v>
      </c>
      <c r="AB47">
        <f t="shared" ref="AB47:AB52" si="81">C47/(0.2+185*C47/193000)</f>
        <v>517.02058150931066</v>
      </c>
      <c r="AC47">
        <f t="shared" si="6"/>
        <v>519.7880493042129</v>
      </c>
      <c r="AD47">
        <f t="shared" si="7"/>
        <v>325.88344850615891</v>
      </c>
      <c r="AE47">
        <f t="shared" si="8"/>
        <v>410.71671135530755</v>
      </c>
      <c r="AF47">
        <f t="shared" si="70"/>
        <v>1315.9179783937009</v>
      </c>
      <c r="AG47">
        <f t="shared" si="9"/>
        <v>0.86555546675510964</v>
      </c>
    </row>
    <row r="48" spans="1:33" x14ac:dyDescent="0.25">
      <c r="A48">
        <v>47</v>
      </c>
      <c r="B48">
        <v>355</v>
      </c>
      <c r="C48">
        <v>205</v>
      </c>
      <c r="D48">
        <v>0.5</v>
      </c>
      <c r="E48">
        <v>3000</v>
      </c>
      <c r="F48">
        <v>110</v>
      </c>
      <c r="G48">
        <f t="shared" si="73"/>
        <v>150</v>
      </c>
      <c r="H48">
        <v>8</v>
      </c>
      <c r="I48">
        <f t="shared" si="0"/>
        <v>13.75</v>
      </c>
      <c r="J48">
        <f>SQRT(12*(1-0.3^2)*I48^2*N48/(4*PI()^2*O48))</f>
        <v>0.27092040405733725</v>
      </c>
      <c r="K48">
        <f t="shared" si="74"/>
        <v>0.55000000000000004</v>
      </c>
      <c r="L48">
        <f t="shared" si="71"/>
        <v>3</v>
      </c>
      <c r="M48">
        <v>2.5</v>
      </c>
      <c r="N48">
        <f t="shared" si="75"/>
        <v>280</v>
      </c>
      <c r="O48">
        <f>193000*D48+(1-D48)*206000</f>
        <v>199500</v>
      </c>
      <c r="P48">
        <f>H48*I48*H48*4</f>
        <v>3520</v>
      </c>
      <c r="Q48">
        <f>PI()*(M48*H48)^2-PI()*((M48-1)*H48)^2</f>
        <v>804.24771931898704</v>
      </c>
      <c r="R48">
        <f t="shared" si="76"/>
        <v>4324.247719318987</v>
      </c>
      <c r="S48">
        <f t="shared" si="2"/>
        <v>14118333.707433984</v>
      </c>
      <c r="T48">
        <f t="shared" si="77"/>
        <v>57.139500414724267</v>
      </c>
      <c r="U48">
        <f t="shared" si="78"/>
        <v>52.503084175144984</v>
      </c>
      <c r="V48">
        <f t="shared" si="79"/>
        <v>0.62609827721020517</v>
      </c>
      <c r="W48">
        <f t="shared" si="80"/>
        <v>1210.7893614093164</v>
      </c>
      <c r="X48">
        <v>997</v>
      </c>
      <c r="Y48">
        <f t="shared" si="3"/>
        <v>0.82342976555354508</v>
      </c>
      <c r="Z48" t="str">
        <f t="shared" si="72"/>
        <v>LC-B47</v>
      </c>
      <c r="AA48">
        <f t="shared" si="5"/>
        <v>490</v>
      </c>
      <c r="AB48">
        <f t="shared" si="81"/>
        <v>517.02058150931066</v>
      </c>
      <c r="AC48">
        <f t="shared" si="6"/>
        <v>519.7880493042129</v>
      </c>
      <c r="AD48">
        <f t="shared" si="7"/>
        <v>325.88344850615891</v>
      </c>
      <c r="AE48">
        <f t="shared" si="8"/>
        <v>410.71671135530755</v>
      </c>
      <c r="AF48">
        <f t="shared" si="70"/>
        <v>1315.9179783937009</v>
      </c>
      <c r="AG48">
        <f t="shared" si="9"/>
        <v>0.75764600557931894</v>
      </c>
    </row>
    <row r="49" spans="1:33" x14ac:dyDescent="0.25">
      <c r="A49">
        <v>48</v>
      </c>
      <c r="B49">
        <v>355</v>
      </c>
      <c r="C49">
        <v>205</v>
      </c>
      <c r="D49">
        <v>0.5</v>
      </c>
      <c r="E49">
        <v>4000</v>
      </c>
      <c r="F49">
        <v>110</v>
      </c>
      <c r="G49">
        <f t="shared" si="73"/>
        <v>150</v>
      </c>
      <c r="H49">
        <v>8</v>
      </c>
      <c r="I49">
        <f t="shared" si="0"/>
        <v>13.75</v>
      </c>
      <c r="J49">
        <f t="shared" ref="J49:J56" si="82">SQRT(12*(1-0.3^2)*I49^2*N49/(4*PI()^2*O49))</f>
        <v>0.27092040405733725</v>
      </c>
      <c r="K49">
        <f t="shared" si="74"/>
        <v>0.55000000000000004</v>
      </c>
      <c r="L49">
        <f t="shared" si="71"/>
        <v>4</v>
      </c>
      <c r="M49">
        <v>2.5</v>
      </c>
      <c r="N49">
        <f t="shared" si="75"/>
        <v>280</v>
      </c>
      <c r="O49">
        <f t="shared" ref="O49:O56" si="83">193000*D49+(1-D49)*206000</f>
        <v>199500</v>
      </c>
      <c r="P49">
        <f t="shared" ref="P49:P56" si="84">H49*I49*H49*4</f>
        <v>3520</v>
      </c>
      <c r="Q49">
        <f t="shared" ref="Q49:Q56" si="85">PI()*(M49*H49)^2-PI()*((M49-1)*H49)^2</f>
        <v>804.24771931898704</v>
      </c>
      <c r="R49">
        <f t="shared" si="76"/>
        <v>4324.247719318987</v>
      </c>
      <c r="S49">
        <f t="shared" si="2"/>
        <v>14118333.707433984</v>
      </c>
      <c r="T49">
        <f t="shared" si="77"/>
        <v>57.139500414724267</v>
      </c>
      <c r="U49">
        <f t="shared" si="78"/>
        <v>70.004112233526641</v>
      </c>
      <c r="V49">
        <f t="shared" si="79"/>
        <v>0.83479770294694011</v>
      </c>
      <c r="W49">
        <f t="shared" si="80"/>
        <v>1210.7893614093164</v>
      </c>
      <c r="X49">
        <v>873.4</v>
      </c>
      <c r="Y49">
        <f t="shared" si="3"/>
        <v>0.72134760003456999</v>
      </c>
      <c r="Z49" t="str">
        <f t="shared" si="72"/>
        <v>LC-B48</v>
      </c>
      <c r="AA49">
        <f t="shared" si="5"/>
        <v>490</v>
      </c>
      <c r="AB49">
        <f t="shared" si="81"/>
        <v>517.02058150931066</v>
      </c>
      <c r="AC49">
        <f t="shared" si="6"/>
        <v>519.7880493042129</v>
      </c>
      <c r="AD49">
        <f t="shared" si="7"/>
        <v>325.88344850615891</v>
      </c>
      <c r="AE49">
        <f t="shared" si="8"/>
        <v>410.71671135530755</v>
      </c>
      <c r="AF49">
        <f t="shared" si="70"/>
        <v>1315.9179783937009</v>
      </c>
      <c r="AG49">
        <f t="shared" si="9"/>
        <v>0.66371917880940534</v>
      </c>
    </row>
    <row r="50" spans="1:33" x14ac:dyDescent="0.25">
      <c r="A50">
        <v>49</v>
      </c>
      <c r="B50">
        <v>355</v>
      </c>
      <c r="C50">
        <v>205</v>
      </c>
      <c r="D50">
        <v>0.5</v>
      </c>
      <c r="E50">
        <v>5000</v>
      </c>
      <c r="F50">
        <v>110</v>
      </c>
      <c r="G50">
        <f t="shared" si="73"/>
        <v>150</v>
      </c>
      <c r="H50">
        <v>8</v>
      </c>
      <c r="I50">
        <f t="shared" si="0"/>
        <v>13.75</v>
      </c>
      <c r="J50">
        <f t="shared" si="82"/>
        <v>0.27092040405733725</v>
      </c>
      <c r="K50">
        <f t="shared" si="74"/>
        <v>0.55000000000000004</v>
      </c>
      <c r="L50">
        <f t="shared" si="71"/>
        <v>5</v>
      </c>
      <c r="M50">
        <v>2.5</v>
      </c>
      <c r="N50">
        <f t="shared" si="75"/>
        <v>280</v>
      </c>
      <c r="O50">
        <f t="shared" si="83"/>
        <v>199500</v>
      </c>
      <c r="P50">
        <f t="shared" si="84"/>
        <v>3520</v>
      </c>
      <c r="Q50">
        <f t="shared" si="85"/>
        <v>804.24771931898704</v>
      </c>
      <c r="R50">
        <f t="shared" si="76"/>
        <v>4324.247719318987</v>
      </c>
      <c r="S50">
        <f t="shared" si="2"/>
        <v>14118333.707433984</v>
      </c>
      <c r="T50">
        <f t="shared" si="77"/>
        <v>57.139500414724267</v>
      </c>
      <c r="U50">
        <f t="shared" si="78"/>
        <v>87.505140291908305</v>
      </c>
      <c r="V50">
        <f t="shared" si="79"/>
        <v>1.0434971286836752</v>
      </c>
      <c r="W50">
        <f t="shared" si="80"/>
        <v>1210.7893614093164</v>
      </c>
      <c r="X50">
        <v>741.4</v>
      </c>
      <c r="Y50">
        <f t="shared" si="3"/>
        <v>0.61232781161624705</v>
      </c>
      <c r="Z50" t="str">
        <f t="shared" si="72"/>
        <v>LC-B49</v>
      </c>
      <c r="AA50">
        <f t="shared" si="5"/>
        <v>490</v>
      </c>
      <c r="AB50">
        <f t="shared" si="81"/>
        <v>517.02058150931066</v>
      </c>
      <c r="AC50">
        <f t="shared" si="6"/>
        <v>519.7880493042129</v>
      </c>
      <c r="AD50">
        <f t="shared" si="7"/>
        <v>325.88344850615891</v>
      </c>
      <c r="AE50">
        <f t="shared" si="8"/>
        <v>410.71671135530755</v>
      </c>
      <c r="AF50">
        <f t="shared" si="70"/>
        <v>1315.9179783937009</v>
      </c>
      <c r="AG50">
        <f t="shared" si="9"/>
        <v>0.5634089754628957</v>
      </c>
    </row>
    <row r="51" spans="1:33" x14ac:dyDescent="0.25">
      <c r="A51">
        <v>50</v>
      </c>
      <c r="B51">
        <v>355</v>
      </c>
      <c r="C51">
        <v>205</v>
      </c>
      <c r="D51">
        <v>0.5</v>
      </c>
      <c r="E51">
        <v>6000</v>
      </c>
      <c r="F51">
        <v>110</v>
      </c>
      <c r="G51">
        <f t="shared" si="73"/>
        <v>150</v>
      </c>
      <c r="H51">
        <v>8</v>
      </c>
      <c r="I51">
        <f t="shared" si="0"/>
        <v>13.75</v>
      </c>
      <c r="J51">
        <f t="shared" si="82"/>
        <v>0.27092040405733725</v>
      </c>
      <c r="K51">
        <f t="shared" si="74"/>
        <v>0.55000000000000004</v>
      </c>
      <c r="L51">
        <f t="shared" si="71"/>
        <v>6</v>
      </c>
      <c r="M51">
        <v>2.5</v>
      </c>
      <c r="N51">
        <f t="shared" si="75"/>
        <v>280</v>
      </c>
      <c r="O51">
        <f t="shared" si="83"/>
        <v>199500</v>
      </c>
      <c r="P51">
        <f t="shared" si="84"/>
        <v>3520</v>
      </c>
      <c r="Q51">
        <f t="shared" si="85"/>
        <v>804.24771931898704</v>
      </c>
      <c r="R51">
        <f t="shared" si="76"/>
        <v>4324.247719318987</v>
      </c>
      <c r="S51">
        <f t="shared" si="2"/>
        <v>14118333.707433984</v>
      </c>
      <c r="T51">
        <f t="shared" si="77"/>
        <v>57.139500414724267</v>
      </c>
      <c r="U51">
        <f t="shared" si="78"/>
        <v>105.00616835028997</v>
      </c>
      <c r="V51">
        <f t="shared" si="79"/>
        <v>1.2521965544204103</v>
      </c>
      <c r="W51">
        <f t="shared" si="80"/>
        <v>1210.7893614093164</v>
      </c>
      <c r="X51">
        <v>594.70000000000005</v>
      </c>
      <c r="Y51">
        <f t="shared" si="3"/>
        <v>0.49116718312406554</v>
      </c>
      <c r="Z51" t="str">
        <f t="shared" si="72"/>
        <v>LC-B50</v>
      </c>
      <c r="AA51">
        <f t="shared" si="5"/>
        <v>490</v>
      </c>
      <c r="AB51">
        <f t="shared" si="81"/>
        <v>517.02058150931066</v>
      </c>
      <c r="AC51">
        <f t="shared" si="6"/>
        <v>519.7880493042129</v>
      </c>
      <c r="AD51">
        <f t="shared" si="7"/>
        <v>325.88344850615891</v>
      </c>
      <c r="AE51">
        <f t="shared" si="8"/>
        <v>410.71671135530755</v>
      </c>
      <c r="AF51">
        <f t="shared" si="70"/>
        <v>1315.9179783937009</v>
      </c>
      <c r="AG51">
        <f t="shared" si="9"/>
        <v>0.45192786310734306</v>
      </c>
    </row>
    <row r="52" spans="1:33" x14ac:dyDescent="0.25">
      <c r="A52">
        <v>51</v>
      </c>
      <c r="B52">
        <v>355</v>
      </c>
      <c r="C52">
        <v>205</v>
      </c>
      <c r="D52">
        <v>0.5</v>
      </c>
      <c r="E52">
        <v>7000</v>
      </c>
      <c r="F52">
        <v>110</v>
      </c>
      <c r="G52">
        <f t="shared" si="73"/>
        <v>150</v>
      </c>
      <c r="H52">
        <v>8</v>
      </c>
      <c r="I52">
        <f t="shared" si="0"/>
        <v>13.75</v>
      </c>
      <c r="J52">
        <f t="shared" si="82"/>
        <v>0.27092040405733725</v>
      </c>
      <c r="K52">
        <f t="shared" si="74"/>
        <v>0.55000000000000004</v>
      </c>
      <c r="L52">
        <f t="shared" si="71"/>
        <v>7</v>
      </c>
      <c r="M52">
        <v>2.5</v>
      </c>
      <c r="N52">
        <f t="shared" si="75"/>
        <v>280</v>
      </c>
      <c r="O52">
        <f t="shared" si="83"/>
        <v>199500</v>
      </c>
      <c r="P52">
        <f t="shared" si="84"/>
        <v>3520</v>
      </c>
      <c r="Q52">
        <f t="shared" si="85"/>
        <v>804.24771931898704</v>
      </c>
      <c r="R52">
        <f t="shared" si="76"/>
        <v>4324.247719318987</v>
      </c>
      <c r="S52">
        <f t="shared" si="2"/>
        <v>14118333.707433984</v>
      </c>
      <c r="T52">
        <f t="shared" si="77"/>
        <v>57.139500414724267</v>
      </c>
      <c r="U52">
        <f t="shared" si="78"/>
        <v>122.50719640867163</v>
      </c>
      <c r="V52">
        <f t="shared" si="79"/>
        <v>1.4608959801571453</v>
      </c>
      <c r="W52">
        <f t="shared" si="80"/>
        <v>1210.7893614093164</v>
      </c>
      <c r="X52">
        <v>470.8</v>
      </c>
      <c r="Y52">
        <f t="shared" si="3"/>
        <v>0.38883724535868514</v>
      </c>
      <c r="Z52" t="str">
        <f t="shared" si="72"/>
        <v>LC-B51</v>
      </c>
      <c r="AA52">
        <f t="shared" si="5"/>
        <v>490</v>
      </c>
      <c r="AB52">
        <f t="shared" si="81"/>
        <v>517.02058150931066</v>
      </c>
      <c r="AC52">
        <f t="shared" si="6"/>
        <v>519.7880493042129</v>
      </c>
      <c r="AD52">
        <f t="shared" si="7"/>
        <v>325.88344850615891</v>
      </c>
      <c r="AE52">
        <f t="shared" si="8"/>
        <v>410.71671135530755</v>
      </c>
      <c r="AF52">
        <f t="shared" si="70"/>
        <v>1315.9179783937009</v>
      </c>
      <c r="AG52">
        <f t="shared" si="9"/>
        <v>0.35777305860255104</v>
      </c>
    </row>
    <row r="53" spans="1:33" x14ac:dyDescent="0.25">
      <c r="A53">
        <v>52</v>
      </c>
      <c r="B53">
        <v>355</v>
      </c>
      <c r="C53">
        <v>205</v>
      </c>
      <c r="D53">
        <v>0.5</v>
      </c>
      <c r="E53">
        <v>8000</v>
      </c>
      <c r="F53">
        <v>110</v>
      </c>
      <c r="G53">
        <f t="shared" si="73"/>
        <v>150</v>
      </c>
      <c r="H53">
        <v>8</v>
      </c>
      <c r="I53">
        <f t="shared" si="0"/>
        <v>13.75</v>
      </c>
      <c r="J53">
        <f t="shared" si="82"/>
        <v>0.27092040405733725</v>
      </c>
      <c r="K53">
        <f t="shared" si="74"/>
        <v>0.55000000000000004</v>
      </c>
      <c r="L53">
        <f t="shared" si="71"/>
        <v>8</v>
      </c>
      <c r="M53">
        <v>2.5</v>
      </c>
      <c r="N53">
        <f t="shared" si="75"/>
        <v>280</v>
      </c>
      <c r="O53">
        <f t="shared" si="83"/>
        <v>199500</v>
      </c>
      <c r="P53">
        <f t="shared" si="84"/>
        <v>3520</v>
      </c>
      <c r="Q53">
        <f t="shared" si="85"/>
        <v>804.24771931898704</v>
      </c>
      <c r="R53">
        <f t="shared" si="76"/>
        <v>4324.247719318987</v>
      </c>
      <c r="S53">
        <f t="shared" si="2"/>
        <v>14118333.707433984</v>
      </c>
      <c r="T53">
        <f t="shared" si="77"/>
        <v>57.139500414724267</v>
      </c>
      <c r="U53">
        <f t="shared" si="78"/>
        <v>140.00822446705328</v>
      </c>
      <c r="V53">
        <f t="shared" si="79"/>
        <v>1.6695954058938802</v>
      </c>
      <c r="W53">
        <f t="shared" si="80"/>
        <v>1210.7893614093164</v>
      </c>
      <c r="X53">
        <v>375.9</v>
      </c>
      <c r="Y53">
        <f t="shared" si="3"/>
        <v>0.31045862474581504</v>
      </c>
      <c r="Z53" t="str">
        <f t="shared" si="72"/>
        <v>LC-B52</v>
      </c>
      <c r="AA53">
        <f t="shared" si="5"/>
        <v>490</v>
      </c>
      <c r="AB53">
        <f>C53/(0.2+185*C53/193000)</f>
        <v>517.02058150931066</v>
      </c>
      <c r="AC53">
        <f t="shared" si="6"/>
        <v>519.7880493042129</v>
      </c>
      <c r="AD53">
        <f t="shared" si="7"/>
        <v>325.88344850615891</v>
      </c>
      <c r="AE53">
        <f t="shared" si="8"/>
        <v>410.71671135530755</v>
      </c>
      <c r="AF53">
        <f>(AE53*Q53+N53*P53)/1000</f>
        <v>1315.9179783937009</v>
      </c>
      <c r="AG53">
        <f t="shared" si="9"/>
        <v>0.28565610180267398</v>
      </c>
    </row>
    <row r="54" spans="1:33" x14ac:dyDescent="0.25">
      <c r="A54">
        <v>53</v>
      </c>
      <c r="B54">
        <v>355</v>
      </c>
      <c r="C54">
        <v>205</v>
      </c>
      <c r="D54">
        <v>0.5</v>
      </c>
      <c r="E54">
        <v>9000</v>
      </c>
      <c r="F54">
        <v>110</v>
      </c>
      <c r="G54">
        <f t="shared" si="73"/>
        <v>150</v>
      </c>
      <c r="H54">
        <v>8</v>
      </c>
      <c r="I54">
        <f t="shared" si="0"/>
        <v>13.75</v>
      </c>
      <c r="J54">
        <f t="shared" si="82"/>
        <v>0.27092040405733725</v>
      </c>
      <c r="K54">
        <f t="shared" si="74"/>
        <v>0.55000000000000004</v>
      </c>
      <c r="L54">
        <f t="shared" si="71"/>
        <v>9</v>
      </c>
      <c r="M54">
        <v>2.5</v>
      </c>
      <c r="N54">
        <f t="shared" si="75"/>
        <v>280</v>
      </c>
      <c r="O54">
        <f t="shared" si="83"/>
        <v>199500</v>
      </c>
      <c r="P54">
        <f t="shared" si="84"/>
        <v>3520</v>
      </c>
      <c r="Q54">
        <f t="shared" si="85"/>
        <v>804.24771931898704</v>
      </c>
      <c r="R54">
        <f t="shared" si="76"/>
        <v>4324.247719318987</v>
      </c>
      <c r="S54">
        <f t="shared" si="2"/>
        <v>14118333.707433984</v>
      </c>
      <c r="T54">
        <f t="shared" si="77"/>
        <v>57.139500414724267</v>
      </c>
      <c r="U54">
        <f t="shared" si="78"/>
        <v>157.50925252543496</v>
      </c>
      <c r="V54">
        <f t="shared" si="79"/>
        <v>1.8782948316306154</v>
      </c>
      <c r="W54">
        <f t="shared" si="80"/>
        <v>1210.7893614093164</v>
      </c>
      <c r="X54">
        <v>304.89999999999998</v>
      </c>
      <c r="Y54">
        <f t="shared" si="3"/>
        <v>0.25181919309656559</v>
      </c>
      <c r="Z54" t="str">
        <f t="shared" si="72"/>
        <v>LC-B53</v>
      </c>
      <c r="AA54">
        <f t="shared" si="5"/>
        <v>490</v>
      </c>
      <c r="AB54">
        <f>C54/(0.2+185*C54/193000)</f>
        <v>517.02058150931066</v>
      </c>
      <c r="AC54">
        <f t="shared" si="6"/>
        <v>519.7880493042129</v>
      </c>
      <c r="AD54">
        <f t="shared" si="7"/>
        <v>325.88344850615891</v>
      </c>
      <c r="AE54">
        <f t="shared" si="8"/>
        <v>410.71671135530755</v>
      </c>
      <c r="AF54">
        <f t="shared" ref="AF54:AF56" si="86">(AE54*Q54+N54*P54)/1000</f>
        <v>1315.9179783937009</v>
      </c>
      <c r="AG54">
        <f t="shared" si="9"/>
        <v>0.23170137121477866</v>
      </c>
    </row>
    <row r="55" spans="1:33" x14ac:dyDescent="0.25">
      <c r="A55">
        <v>54</v>
      </c>
      <c r="B55">
        <v>355</v>
      </c>
      <c r="C55">
        <v>205</v>
      </c>
      <c r="D55">
        <v>0.5</v>
      </c>
      <c r="E55">
        <v>10000</v>
      </c>
      <c r="F55">
        <v>110</v>
      </c>
      <c r="G55">
        <f t="shared" si="73"/>
        <v>150</v>
      </c>
      <c r="H55">
        <v>8</v>
      </c>
      <c r="I55">
        <f t="shared" si="0"/>
        <v>13.75</v>
      </c>
      <c r="J55">
        <f t="shared" si="82"/>
        <v>0.27092040405733725</v>
      </c>
      <c r="K55">
        <f t="shared" si="74"/>
        <v>0.55000000000000004</v>
      </c>
      <c r="L55">
        <f t="shared" si="71"/>
        <v>10</v>
      </c>
      <c r="M55">
        <v>2.5</v>
      </c>
      <c r="N55">
        <f t="shared" si="75"/>
        <v>280</v>
      </c>
      <c r="O55">
        <f t="shared" si="83"/>
        <v>199500</v>
      </c>
      <c r="P55">
        <f t="shared" si="84"/>
        <v>3520</v>
      </c>
      <c r="Q55">
        <f t="shared" si="85"/>
        <v>804.24771931898704</v>
      </c>
      <c r="R55">
        <f t="shared" si="76"/>
        <v>4324.247719318987</v>
      </c>
      <c r="S55">
        <f t="shared" si="2"/>
        <v>14118333.707433984</v>
      </c>
      <c r="T55">
        <f t="shared" si="77"/>
        <v>57.139500414724267</v>
      </c>
      <c r="U55">
        <f t="shared" si="78"/>
        <v>175.01028058381661</v>
      </c>
      <c r="V55">
        <f t="shared" si="79"/>
        <v>2.0869942573673503</v>
      </c>
      <c r="W55">
        <f t="shared" si="80"/>
        <v>1210.7893614093164</v>
      </c>
      <c r="X55">
        <v>251.1</v>
      </c>
      <c r="Y55">
        <f t="shared" si="3"/>
        <v>0.20738537024121884</v>
      </c>
      <c r="Z55" t="str">
        <f t="shared" si="72"/>
        <v>LC-B54</v>
      </c>
      <c r="AA55">
        <f t="shared" si="5"/>
        <v>490</v>
      </c>
      <c r="AB55">
        <f>C55/(0.2+185*C55/193000)</f>
        <v>517.02058150931066</v>
      </c>
      <c r="AC55">
        <f t="shared" si="6"/>
        <v>519.7880493042129</v>
      </c>
      <c r="AD55">
        <f t="shared" si="7"/>
        <v>325.88344850615891</v>
      </c>
      <c r="AE55">
        <f t="shared" si="8"/>
        <v>410.71671135530755</v>
      </c>
      <c r="AF55">
        <f t="shared" si="86"/>
        <v>1315.9179783937009</v>
      </c>
      <c r="AG55">
        <f t="shared" ref="AG55:AG89" si="87">X55/AF55</f>
        <v>0.19081736409324673</v>
      </c>
    </row>
    <row r="56" spans="1:33" x14ac:dyDescent="0.25">
      <c r="A56">
        <v>55</v>
      </c>
      <c r="B56">
        <v>355</v>
      </c>
      <c r="C56">
        <v>205</v>
      </c>
      <c r="D56">
        <v>0.5</v>
      </c>
      <c r="E56">
        <v>12000</v>
      </c>
      <c r="F56">
        <v>110</v>
      </c>
      <c r="G56">
        <f t="shared" si="73"/>
        <v>150</v>
      </c>
      <c r="H56">
        <v>8</v>
      </c>
      <c r="I56">
        <f t="shared" ref="I56:I100" si="88">F56/H56</f>
        <v>13.75</v>
      </c>
      <c r="J56">
        <f t="shared" si="82"/>
        <v>0.27092040405733725</v>
      </c>
      <c r="K56">
        <f t="shared" si="74"/>
        <v>0.55000000000000004</v>
      </c>
      <c r="L56">
        <f t="shared" si="71"/>
        <v>12</v>
      </c>
      <c r="M56">
        <v>2.5</v>
      </c>
      <c r="N56">
        <f t="shared" si="75"/>
        <v>280</v>
      </c>
      <c r="O56">
        <f t="shared" si="83"/>
        <v>199500</v>
      </c>
      <c r="P56">
        <f t="shared" si="84"/>
        <v>3520</v>
      </c>
      <c r="Q56">
        <f t="shared" si="85"/>
        <v>804.24771931898704</v>
      </c>
      <c r="R56">
        <f t="shared" si="76"/>
        <v>4324.247719318987</v>
      </c>
      <c r="S56">
        <f t="shared" ref="S56:S100" si="89">1/12*H56*(H56*I56)^3*2+(1/12*(H56*I56)*H56^3+(H56*I56)*H56*(G56/2-H56/2)^2)*2+PI()/8*((M56*H56)^4-((M56-1)*H56)^4)*2+1/2*PI()*((M56*H56)^2-((M56-1)*H56)^2)*(-1*((4*((M56*H56)^3-((M56-1)*H56)^3))/(3*PI()*((M56*H56)^2-((M56-1)*H56)^2)))^2+1*((4*((M56*H56)^3-((M56-1)*H56)^3))/(3*PI()*((M56*H56)^2-((M56-1)*H56)^2))+H56*I56/2)^2)*2</f>
        <v>14118333.707433984</v>
      </c>
      <c r="T56">
        <f t="shared" si="77"/>
        <v>57.139500414724267</v>
      </c>
      <c r="U56">
        <f t="shared" si="78"/>
        <v>210.01233670057994</v>
      </c>
      <c r="V56">
        <f t="shared" si="79"/>
        <v>2.5043931088408207</v>
      </c>
      <c r="W56">
        <f t="shared" si="80"/>
        <v>1210.7893614093164</v>
      </c>
      <c r="X56">
        <v>178.1</v>
      </c>
      <c r="Y56">
        <f t="shared" ref="Y56:Y100" si="90">X56/W56</f>
        <v>0.14709412361593419</v>
      </c>
      <c r="Z56" t="str">
        <f t="shared" si="72"/>
        <v>LC-B55</v>
      </c>
      <c r="AA56">
        <f t="shared" ref="AA56:AA89" si="91">IF(B56=235,360,IF(B56=355,490,560))</f>
        <v>490</v>
      </c>
      <c r="AB56">
        <f t="shared" ref="AB56" si="92">C56/(0.2+185*C56/193000)</f>
        <v>517.02058150931066</v>
      </c>
      <c r="AC56">
        <f t="shared" ref="AC56:AC89" si="93">B56*(2.769*(AA56/B56)-0.581*(AA56/B56)^2-1.182)/((M56-1)^(0.314*(AA56/B56)-0.32))</f>
        <v>519.7880493042129</v>
      </c>
      <c r="AD56">
        <f t="shared" ref="AD56:AD89" si="94">1.673*C56/(M56-1)^0.126</f>
        <v>325.88344850615891</v>
      </c>
      <c r="AE56">
        <f t="shared" ref="AE56:AE89" si="95">AC56*(1-((2*M56*H56-D56*H56)/(2*M56*H56-H56)*D56))+AD56*((2*M56*H56-D56*H56)/(2*M56*H56-H56)*D56)</f>
        <v>410.71671135530755</v>
      </c>
      <c r="AF56">
        <f t="shared" si="86"/>
        <v>1315.9179783937009</v>
      </c>
      <c r="AG56">
        <f t="shared" si="87"/>
        <v>0.13534278193949517</v>
      </c>
    </row>
    <row r="57" spans="1:33" x14ac:dyDescent="0.25">
      <c r="A57">
        <v>56</v>
      </c>
      <c r="B57">
        <v>355</v>
      </c>
      <c r="C57">
        <v>205</v>
      </c>
      <c r="D57">
        <v>0.6</v>
      </c>
      <c r="E57">
        <v>1000</v>
      </c>
      <c r="F57">
        <v>110</v>
      </c>
      <c r="G57">
        <f>F57+2*H57*M57</f>
        <v>150</v>
      </c>
      <c r="H57">
        <v>8</v>
      </c>
      <c r="I57">
        <f t="shared" si="88"/>
        <v>13.75</v>
      </c>
      <c r="J57">
        <f>SQRT(12*(1-0.3^2)*I57^2*N57/(4*PI()^2*O57))</f>
        <v>0.26442667307085166</v>
      </c>
      <c r="K57">
        <f>H57*I57/200</f>
        <v>0.55000000000000004</v>
      </c>
      <c r="L57">
        <f t="shared" si="71"/>
        <v>1</v>
      </c>
      <c r="M57">
        <v>2.5</v>
      </c>
      <c r="N57">
        <f>D57*C57+(1-D57)*B57</f>
        <v>265</v>
      </c>
      <c r="O57">
        <f>193000*D57+(1-D57)*206000</f>
        <v>198200</v>
      </c>
      <c r="P57">
        <f>H57*I57*H57*4</f>
        <v>3520</v>
      </c>
      <c r="Q57">
        <f>PI()*(M57*H57)^2-PI()*((M57-1)*H57)^2</f>
        <v>804.24771931898704</v>
      </c>
      <c r="R57">
        <f>P57+Q57</f>
        <v>4324.247719318987</v>
      </c>
      <c r="S57">
        <f t="shared" si="89"/>
        <v>14118333.707433984</v>
      </c>
      <c r="T57">
        <f>SQRT(S57/R57)</f>
        <v>57.139500414724267</v>
      </c>
      <c r="U57">
        <f>E57/T57</f>
        <v>17.50102805838166</v>
      </c>
      <c r="V57">
        <f>U57/PI()*SQRT(N57/O57)</f>
        <v>0.20369707852525828</v>
      </c>
      <c r="W57">
        <f>R57*N57/1000</f>
        <v>1145.9256456195317</v>
      </c>
      <c r="X57">
        <v>1242</v>
      </c>
      <c r="Y57">
        <f t="shared" si="90"/>
        <v>1.0838399548415087</v>
      </c>
      <c r="Z57" t="str">
        <f t="shared" si="72"/>
        <v>LC-B56</v>
      </c>
      <c r="AA57">
        <f t="shared" si="91"/>
        <v>490</v>
      </c>
      <c r="AB57">
        <f>C57/(0.2+185*C57/193000)</f>
        <v>517.02058150931066</v>
      </c>
      <c r="AC57">
        <f t="shared" si="93"/>
        <v>519.7880493042129</v>
      </c>
      <c r="AD57">
        <f t="shared" si="94"/>
        <v>325.88344850615891</v>
      </c>
      <c r="AE57">
        <f t="shared" si="95"/>
        <v>391.81101277749724</v>
      </c>
      <c r="AF57">
        <f>(AE57*Q57+N57*P57)/1000</f>
        <v>1247.9131134303645</v>
      </c>
      <c r="AG57">
        <f t="shared" si="87"/>
        <v>0.99526159845046414</v>
      </c>
    </row>
    <row r="58" spans="1:33" x14ac:dyDescent="0.25">
      <c r="A58">
        <v>57</v>
      </c>
      <c r="B58">
        <v>355</v>
      </c>
      <c r="C58">
        <v>205</v>
      </c>
      <c r="D58">
        <v>0.6</v>
      </c>
      <c r="E58">
        <v>2000</v>
      </c>
      <c r="F58">
        <v>110</v>
      </c>
      <c r="G58">
        <f t="shared" ref="G58:G67" si="96">F58+2*H58*M58</f>
        <v>150</v>
      </c>
      <c r="H58">
        <v>8</v>
      </c>
      <c r="I58">
        <f t="shared" si="88"/>
        <v>13.75</v>
      </c>
      <c r="J58">
        <f>SQRT(12*(1-0.3^2)*I58^2*N58/(4*PI()^2*O58))</f>
        <v>0.26442667307085166</v>
      </c>
      <c r="K58">
        <f t="shared" ref="K58:K67" si="97">H58*I58/200</f>
        <v>0.55000000000000004</v>
      </c>
      <c r="L58">
        <f t="shared" si="71"/>
        <v>2</v>
      </c>
      <c r="M58">
        <v>2.5</v>
      </c>
      <c r="N58">
        <f t="shared" ref="N58:N67" si="98">D58*C58+(1-D58)*B58</f>
        <v>265</v>
      </c>
      <c r="O58">
        <f>193000*D58+(1-D58)*206000</f>
        <v>198200</v>
      </c>
      <c r="P58">
        <f>H58*I58*H58*4</f>
        <v>3520</v>
      </c>
      <c r="Q58">
        <f>PI()*(M58*H58)^2-PI()*((M58-1)*H58)^2</f>
        <v>804.24771931898704</v>
      </c>
      <c r="R58">
        <f t="shared" ref="R58:R67" si="99">P58+Q58</f>
        <v>4324.247719318987</v>
      </c>
      <c r="S58">
        <f t="shared" si="89"/>
        <v>14118333.707433984</v>
      </c>
      <c r="T58">
        <f t="shared" ref="T58:T67" si="100">SQRT(S58/R58)</f>
        <v>57.139500414724267</v>
      </c>
      <c r="U58">
        <f t="shared" ref="U58:U67" si="101">E58/T58</f>
        <v>35.00205611676332</v>
      </c>
      <c r="V58">
        <f t="shared" ref="V58:V67" si="102">U58/PI()*SQRT(N58/O58)</f>
        <v>0.40739415705051657</v>
      </c>
      <c r="W58">
        <f t="shared" ref="W58:W67" si="103">R58*N58/1000</f>
        <v>1145.9256456195317</v>
      </c>
      <c r="X58">
        <v>1089.9000000000001</v>
      </c>
      <c r="Y58">
        <f t="shared" si="90"/>
        <v>0.9511088299370053</v>
      </c>
      <c r="Z58" t="str">
        <f t="shared" si="72"/>
        <v>LC-B57</v>
      </c>
      <c r="AA58">
        <f t="shared" si="91"/>
        <v>490</v>
      </c>
      <c r="AB58">
        <f>C58/(0.2+185*C58/193000)</f>
        <v>517.02058150931066</v>
      </c>
      <c r="AC58">
        <f t="shared" si="93"/>
        <v>519.7880493042129</v>
      </c>
      <c r="AD58">
        <f t="shared" si="94"/>
        <v>325.88344850615891</v>
      </c>
      <c r="AE58">
        <f t="shared" si="95"/>
        <v>391.81101277749724</v>
      </c>
      <c r="AF58">
        <f t="shared" ref="AF58:AF67" si="104">(AE58*Q58+N58*P58)/1000</f>
        <v>1247.9131134303645</v>
      </c>
      <c r="AG58">
        <f t="shared" si="87"/>
        <v>0.87337811284312472</v>
      </c>
    </row>
    <row r="59" spans="1:33" x14ac:dyDescent="0.25">
      <c r="A59">
        <v>58</v>
      </c>
      <c r="B59">
        <v>355</v>
      </c>
      <c r="C59">
        <v>205</v>
      </c>
      <c r="D59">
        <v>0.6</v>
      </c>
      <c r="E59">
        <v>3000</v>
      </c>
      <c r="F59">
        <v>110</v>
      </c>
      <c r="G59">
        <f t="shared" si="96"/>
        <v>150</v>
      </c>
      <c r="H59">
        <v>8</v>
      </c>
      <c r="I59">
        <f t="shared" si="88"/>
        <v>13.75</v>
      </c>
      <c r="J59">
        <f>SQRT(12*(1-0.3^2)*I59^2*N59/(4*PI()^2*O59))</f>
        <v>0.26442667307085166</v>
      </c>
      <c r="K59">
        <f t="shared" si="97"/>
        <v>0.55000000000000004</v>
      </c>
      <c r="L59">
        <f t="shared" si="71"/>
        <v>3</v>
      </c>
      <c r="M59">
        <v>2.5</v>
      </c>
      <c r="N59">
        <f t="shared" si="98"/>
        <v>265</v>
      </c>
      <c r="O59">
        <f>193000*D59+(1-D59)*206000</f>
        <v>198200</v>
      </c>
      <c r="P59">
        <f>H59*I59*H59*4</f>
        <v>3520</v>
      </c>
      <c r="Q59">
        <f>PI()*(M59*H59)^2-PI()*((M59-1)*H59)^2</f>
        <v>804.24771931898704</v>
      </c>
      <c r="R59">
        <f t="shared" si="99"/>
        <v>4324.247719318987</v>
      </c>
      <c r="S59">
        <f t="shared" si="89"/>
        <v>14118333.707433984</v>
      </c>
      <c r="T59">
        <f t="shared" si="100"/>
        <v>57.139500414724267</v>
      </c>
      <c r="U59">
        <f t="shared" si="101"/>
        <v>52.503084175144984</v>
      </c>
      <c r="V59">
        <f t="shared" si="102"/>
        <v>0.61109123557577494</v>
      </c>
      <c r="W59">
        <f t="shared" si="103"/>
        <v>1145.9256456195317</v>
      </c>
      <c r="X59">
        <v>947.4</v>
      </c>
      <c r="Y59">
        <f t="shared" si="90"/>
        <v>0.82675521192982715</v>
      </c>
      <c r="Z59" t="str">
        <f t="shared" si="72"/>
        <v>LC-B58</v>
      </c>
      <c r="AA59">
        <f t="shared" si="91"/>
        <v>490</v>
      </c>
      <c r="AB59">
        <f>C59/(0.2+185*C59/193000)</f>
        <v>517.02058150931066</v>
      </c>
      <c r="AC59">
        <f t="shared" si="93"/>
        <v>519.7880493042129</v>
      </c>
      <c r="AD59">
        <f t="shared" si="94"/>
        <v>325.88344850615891</v>
      </c>
      <c r="AE59">
        <f t="shared" si="95"/>
        <v>391.81101277749724</v>
      </c>
      <c r="AF59">
        <f t="shared" si="104"/>
        <v>1247.9131134303645</v>
      </c>
      <c r="AG59">
        <f t="shared" si="87"/>
        <v>0.75918747050883228</v>
      </c>
    </row>
    <row r="60" spans="1:33" x14ac:dyDescent="0.25">
      <c r="A60">
        <v>59</v>
      </c>
      <c r="B60">
        <v>355</v>
      </c>
      <c r="C60">
        <v>205</v>
      </c>
      <c r="D60">
        <v>0.6</v>
      </c>
      <c r="E60">
        <v>4000</v>
      </c>
      <c r="F60">
        <v>110</v>
      </c>
      <c r="G60">
        <f t="shared" si="96"/>
        <v>150</v>
      </c>
      <c r="H60">
        <v>8</v>
      </c>
      <c r="I60">
        <f t="shared" si="88"/>
        <v>13.75</v>
      </c>
      <c r="J60">
        <f t="shared" ref="J60:J67" si="105">SQRT(12*(1-0.3^2)*I60^2*N60/(4*PI()^2*O60))</f>
        <v>0.26442667307085166</v>
      </c>
      <c r="K60">
        <f t="shared" si="97"/>
        <v>0.55000000000000004</v>
      </c>
      <c r="L60">
        <f t="shared" si="71"/>
        <v>4</v>
      </c>
      <c r="M60">
        <v>2.5</v>
      </c>
      <c r="N60">
        <f t="shared" si="98"/>
        <v>265</v>
      </c>
      <c r="O60">
        <f t="shared" ref="O60:O67" si="106">193000*D60+(1-D60)*206000</f>
        <v>198200</v>
      </c>
      <c r="P60">
        <f t="shared" ref="P60:P67" si="107">H60*I60*H60*4</f>
        <v>3520</v>
      </c>
      <c r="Q60">
        <f t="shared" ref="Q60:Q67" si="108">PI()*(M60*H60)^2-PI()*((M60-1)*H60)^2</f>
        <v>804.24771931898704</v>
      </c>
      <c r="R60">
        <f t="shared" si="99"/>
        <v>4324.247719318987</v>
      </c>
      <c r="S60">
        <f t="shared" si="89"/>
        <v>14118333.707433984</v>
      </c>
      <c r="T60">
        <f t="shared" si="100"/>
        <v>57.139500414724267</v>
      </c>
      <c r="U60">
        <f t="shared" si="101"/>
        <v>70.004112233526641</v>
      </c>
      <c r="V60">
        <f t="shared" si="102"/>
        <v>0.81478831410103314</v>
      </c>
      <c r="W60">
        <f t="shared" si="103"/>
        <v>1145.9256456195317</v>
      </c>
      <c r="X60">
        <v>838.5</v>
      </c>
      <c r="Y60">
        <f t="shared" si="90"/>
        <v>0.73172286806328912</v>
      </c>
      <c r="Z60" t="str">
        <f t="shared" si="72"/>
        <v>LC-B59</v>
      </c>
      <c r="AA60">
        <f t="shared" si="91"/>
        <v>490</v>
      </c>
      <c r="AB60">
        <f t="shared" ref="AB60:AB67" si="109">C60/(0.2+185*C60/193000)</f>
        <v>517.02058150931066</v>
      </c>
      <c r="AC60">
        <f t="shared" si="93"/>
        <v>519.7880493042129</v>
      </c>
      <c r="AD60">
        <f t="shared" si="94"/>
        <v>325.88344850615891</v>
      </c>
      <c r="AE60">
        <f t="shared" si="95"/>
        <v>391.81101277749724</v>
      </c>
      <c r="AF60">
        <f t="shared" si="104"/>
        <v>1247.9131134303645</v>
      </c>
      <c r="AG60">
        <f t="shared" si="87"/>
        <v>0.67192177963020461</v>
      </c>
    </row>
    <row r="61" spans="1:33" x14ac:dyDescent="0.25">
      <c r="A61">
        <v>60</v>
      </c>
      <c r="B61">
        <v>355</v>
      </c>
      <c r="C61">
        <v>205</v>
      </c>
      <c r="D61">
        <v>0.6</v>
      </c>
      <c r="E61">
        <v>5000</v>
      </c>
      <c r="F61">
        <v>110</v>
      </c>
      <c r="G61">
        <f t="shared" si="96"/>
        <v>150</v>
      </c>
      <c r="H61">
        <v>8</v>
      </c>
      <c r="I61">
        <f t="shared" si="88"/>
        <v>13.75</v>
      </c>
      <c r="J61">
        <f t="shared" si="105"/>
        <v>0.26442667307085166</v>
      </c>
      <c r="K61">
        <f t="shared" si="97"/>
        <v>0.55000000000000004</v>
      </c>
      <c r="L61">
        <f t="shared" si="71"/>
        <v>5</v>
      </c>
      <c r="M61">
        <v>2.5</v>
      </c>
      <c r="N61">
        <f t="shared" si="98"/>
        <v>265</v>
      </c>
      <c r="O61">
        <f t="shared" si="106"/>
        <v>198200</v>
      </c>
      <c r="P61">
        <f t="shared" si="107"/>
        <v>3520</v>
      </c>
      <c r="Q61">
        <f t="shared" si="108"/>
        <v>804.24771931898704</v>
      </c>
      <c r="R61">
        <f t="shared" si="99"/>
        <v>4324.247719318987</v>
      </c>
      <c r="S61">
        <f t="shared" si="89"/>
        <v>14118333.707433984</v>
      </c>
      <c r="T61">
        <f t="shared" si="100"/>
        <v>57.139500414724267</v>
      </c>
      <c r="U61">
        <f t="shared" si="101"/>
        <v>87.505140291908305</v>
      </c>
      <c r="V61">
        <f t="shared" si="102"/>
        <v>1.0184853926262913</v>
      </c>
      <c r="W61">
        <f t="shared" si="103"/>
        <v>1145.9256456195317</v>
      </c>
      <c r="X61">
        <v>713.7</v>
      </c>
      <c r="Y61">
        <f t="shared" si="90"/>
        <v>0.62281527839805539</v>
      </c>
      <c r="Z61" t="str">
        <f t="shared" si="72"/>
        <v>LC-B60</v>
      </c>
      <c r="AA61">
        <f t="shared" si="91"/>
        <v>490</v>
      </c>
      <c r="AB61">
        <f t="shared" si="109"/>
        <v>517.02058150931066</v>
      </c>
      <c r="AC61">
        <f t="shared" si="93"/>
        <v>519.7880493042129</v>
      </c>
      <c r="AD61">
        <f t="shared" si="94"/>
        <v>325.88344850615891</v>
      </c>
      <c r="AE61">
        <f t="shared" si="95"/>
        <v>391.81101277749724</v>
      </c>
      <c r="AF61">
        <f t="shared" si="104"/>
        <v>1247.9131134303645</v>
      </c>
      <c r="AG61">
        <f t="shared" si="87"/>
        <v>0.57191481708059289</v>
      </c>
    </row>
    <row r="62" spans="1:33" x14ac:dyDescent="0.25">
      <c r="A62">
        <v>61</v>
      </c>
      <c r="B62">
        <v>355</v>
      </c>
      <c r="C62">
        <v>205</v>
      </c>
      <c r="D62">
        <v>0.6</v>
      </c>
      <c r="E62">
        <v>6000</v>
      </c>
      <c r="F62">
        <v>110</v>
      </c>
      <c r="G62">
        <f t="shared" si="96"/>
        <v>150</v>
      </c>
      <c r="H62">
        <v>8</v>
      </c>
      <c r="I62">
        <f t="shared" si="88"/>
        <v>13.75</v>
      </c>
      <c r="J62">
        <f t="shared" si="105"/>
        <v>0.26442667307085166</v>
      </c>
      <c r="K62">
        <f t="shared" si="97"/>
        <v>0.55000000000000004</v>
      </c>
      <c r="L62">
        <f t="shared" si="71"/>
        <v>6</v>
      </c>
      <c r="M62">
        <v>2.5</v>
      </c>
      <c r="N62">
        <f t="shared" si="98"/>
        <v>265</v>
      </c>
      <c r="O62">
        <f t="shared" si="106"/>
        <v>198200</v>
      </c>
      <c r="P62">
        <f t="shared" si="107"/>
        <v>3520</v>
      </c>
      <c r="Q62">
        <f t="shared" si="108"/>
        <v>804.24771931898704</v>
      </c>
      <c r="R62">
        <f t="shared" si="99"/>
        <v>4324.247719318987</v>
      </c>
      <c r="S62">
        <f t="shared" si="89"/>
        <v>14118333.707433984</v>
      </c>
      <c r="T62">
        <f t="shared" si="100"/>
        <v>57.139500414724267</v>
      </c>
      <c r="U62">
        <f t="shared" si="101"/>
        <v>105.00616835028997</v>
      </c>
      <c r="V62">
        <f t="shared" si="102"/>
        <v>1.2221824711515499</v>
      </c>
      <c r="W62">
        <f t="shared" si="103"/>
        <v>1145.9256456195317</v>
      </c>
      <c r="X62">
        <v>581.5</v>
      </c>
      <c r="Y62">
        <f t="shared" si="90"/>
        <v>0.50745002716613319</v>
      </c>
      <c r="Z62" t="str">
        <f t="shared" si="72"/>
        <v>LC-B61</v>
      </c>
      <c r="AA62">
        <f t="shared" si="91"/>
        <v>490</v>
      </c>
      <c r="AB62">
        <f t="shared" si="109"/>
        <v>517.02058150931066</v>
      </c>
      <c r="AC62">
        <f t="shared" si="93"/>
        <v>519.7880493042129</v>
      </c>
      <c r="AD62">
        <f t="shared" si="94"/>
        <v>325.88344850615891</v>
      </c>
      <c r="AE62">
        <f t="shared" si="95"/>
        <v>391.81101277749724</v>
      </c>
      <c r="AF62">
        <f t="shared" si="104"/>
        <v>1247.9131134303645</v>
      </c>
      <c r="AG62">
        <f t="shared" si="87"/>
        <v>0.46597795450800716</v>
      </c>
    </row>
    <row r="63" spans="1:33" x14ac:dyDescent="0.25">
      <c r="A63">
        <v>62</v>
      </c>
      <c r="B63">
        <v>355</v>
      </c>
      <c r="C63">
        <v>205</v>
      </c>
      <c r="D63">
        <v>0.6</v>
      </c>
      <c r="E63">
        <v>7000</v>
      </c>
      <c r="F63">
        <v>110</v>
      </c>
      <c r="G63">
        <f t="shared" si="96"/>
        <v>150</v>
      </c>
      <c r="H63">
        <v>8</v>
      </c>
      <c r="I63">
        <f t="shared" si="88"/>
        <v>13.75</v>
      </c>
      <c r="J63">
        <f t="shared" si="105"/>
        <v>0.26442667307085166</v>
      </c>
      <c r="K63">
        <f t="shared" si="97"/>
        <v>0.55000000000000004</v>
      </c>
      <c r="L63">
        <f t="shared" si="71"/>
        <v>7</v>
      </c>
      <c r="M63">
        <v>2.5</v>
      </c>
      <c r="N63">
        <f t="shared" si="98"/>
        <v>265</v>
      </c>
      <c r="O63">
        <f t="shared" si="106"/>
        <v>198200</v>
      </c>
      <c r="P63">
        <f t="shared" si="107"/>
        <v>3520</v>
      </c>
      <c r="Q63">
        <f t="shared" si="108"/>
        <v>804.24771931898704</v>
      </c>
      <c r="R63">
        <f t="shared" si="99"/>
        <v>4324.247719318987</v>
      </c>
      <c r="S63">
        <f t="shared" si="89"/>
        <v>14118333.707433984</v>
      </c>
      <c r="T63">
        <f t="shared" si="100"/>
        <v>57.139500414724267</v>
      </c>
      <c r="U63">
        <f t="shared" si="101"/>
        <v>122.50719640867163</v>
      </c>
      <c r="V63">
        <f t="shared" si="102"/>
        <v>1.425879549676808</v>
      </c>
      <c r="W63">
        <f t="shared" si="103"/>
        <v>1145.9256456195317</v>
      </c>
      <c r="X63">
        <v>463.1</v>
      </c>
      <c r="Y63">
        <f t="shared" si="90"/>
        <v>0.40412744209911655</v>
      </c>
      <c r="Z63" t="str">
        <f t="shared" si="72"/>
        <v>LC-B62</v>
      </c>
      <c r="AA63">
        <f t="shared" si="91"/>
        <v>490</v>
      </c>
      <c r="AB63">
        <f t="shared" si="109"/>
        <v>517.02058150931066</v>
      </c>
      <c r="AC63">
        <f t="shared" si="93"/>
        <v>519.7880493042129</v>
      </c>
      <c r="AD63">
        <f t="shared" si="94"/>
        <v>325.88344850615891</v>
      </c>
      <c r="AE63">
        <f t="shared" si="95"/>
        <v>391.81101277749724</v>
      </c>
      <c r="AF63">
        <f t="shared" si="104"/>
        <v>1247.9131134303645</v>
      </c>
      <c r="AG63">
        <f t="shared" si="87"/>
        <v>0.37109955414042672</v>
      </c>
    </row>
    <row r="64" spans="1:33" x14ac:dyDescent="0.25">
      <c r="A64">
        <v>63</v>
      </c>
      <c r="B64">
        <v>355</v>
      </c>
      <c r="C64">
        <v>205</v>
      </c>
      <c r="D64">
        <v>0.6</v>
      </c>
      <c r="E64">
        <v>8000</v>
      </c>
      <c r="F64">
        <v>110</v>
      </c>
      <c r="G64">
        <f t="shared" si="96"/>
        <v>150</v>
      </c>
      <c r="H64">
        <v>8</v>
      </c>
      <c r="I64">
        <f t="shared" si="88"/>
        <v>13.75</v>
      </c>
      <c r="J64">
        <f t="shared" si="105"/>
        <v>0.26442667307085166</v>
      </c>
      <c r="K64">
        <f t="shared" si="97"/>
        <v>0.55000000000000004</v>
      </c>
      <c r="L64">
        <f t="shared" si="71"/>
        <v>8</v>
      </c>
      <c r="M64">
        <v>2.5</v>
      </c>
      <c r="N64">
        <f t="shared" si="98"/>
        <v>265</v>
      </c>
      <c r="O64">
        <f t="shared" si="106"/>
        <v>198200</v>
      </c>
      <c r="P64">
        <f t="shared" si="107"/>
        <v>3520</v>
      </c>
      <c r="Q64">
        <f t="shared" si="108"/>
        <v>804.24771931898704</v>
      </c>
      <c r="R64">
        <f t="shared" si="99"/>
        <v>4324.247719318987</v>
      </c>
      <c r="S64">
        <f t="shared" si="89"/>
        <v>14118333.707433984</v>
      </c>
      <c r="T64">
        <f t="shared" si="100"/>
        <v>57.139500414724267</v>
      </c>
      <c r="U64">
        <f t="shared" si="101"/>
        <v>140.00822446705328</v>
      </c>
      <c r="V64">
        <f t="shared" si="102"/>
        <v>1.6295766282020663</v>
      </c>
      <c r="W64">
        <f t="shared" si="103"/>
        <v>1145.9256456195317</v>
      </c>
      <c r="X64">
        <v>370.2</v>
      </c>
      <c r="Y64">
        <f t="shared" si="90"/>
        <v>0.3230576097281212</v>
      </c>
      <c r="Z64" t="str">
        <f t="shared" si="72"/>
        <v>LC-B63</v>
      </c>
      <c r="AA64">
        <f t="shared" si="91"/>
        <v>490</v>
      </c>
      <c r="AB64">
        <f t="shared" si="109"/>
        <v>517.02058150931066</v>
      </c>
      <c r="AC64">
        <f t="shared" si="93"/>
        <v>519.7880493042129</v>
      </c>
      <c r="AD64">
        <f t="shared" si="94"/>
        <v>325.88344850615891</v>
      </c>
      <c r="AE64">
        <f t="shared" si="95"/>
        <v>391.81101277749724</v>
      </c>
      <c r="AF64">
        <f t="shared" si="104"/>
        <v>1247.9131134303645</v>
      </c>
      <c r="AG64">
        <f t="shared" si="87"/>
        <v>0.29665526871687747</v>
      </c>
    </row>
    <row r="65" spans="1:33" x14ac:dyDescent="0.25">
      <c r="A65">
        <v>64</v>
      </c>
      <c r="B65">
        <v>355</v>
      </c>
      <c r="C65">
        <v>205</v>
      </c>
      <c r="D65">
        <v>0.6</v>
      </c>
      <c r="E65">
        <v>9000</v>
      </c>
      <c r="F65">
        <v>110</v>
      </c>
      <c r="G65">
        <f t="shared" si="96"/>
        <v>150</v>
      </c>
      <c r="H65">
        <v>8</v>
      </c>
      <c r="I65">
        <f t="shared" si="88"/>
        <v>13.75</v>
      </c>
      <c r="J65">
        <f t="shared" si="105"/>
        <v>0.26442667307085166</v>
      </c>
      <c r="K65">
        <f t="shared" si="97"/>
        <v>0.55000000000000004</v>
      </c>
      <c r="L65">
        <f t="shared" si="71"/>
        <v>9</v>
      </c>
      <c r="M65">
        <v>2.5</v>
      </c>
      <c r="N65">
        <f t="shared" si="98"/>
        <v>265</v>
      </c>
      <c r="O65">
        <f t="shared" si="106"/>
        <v>198200</v>
      </c>
      <c r="P65">
        <f t="shared" si="107"/>
        <v>3520</v>
      </c>
      <c r="Q65">
        <f t="shared" si="108"/>
        <v>804.24771931898704</v>
      </c>
      <c r="R65">
        <f t="shared" si="99"/>
        <v>4324.247719318987</v>
      </c>
      <c r="S65">
        <f t="shared" si="89"/>
        <v>14118333.707433984</v>
      </c>
      <c r="T65">
        <f t="shared" si="100"/>
        <v>57.139500414724267</v>
      </c>
      <c r="U65">
        <f t="shared" si="101"/>
        <v>157.50925252543496</v>
      </c>
      <c r="V65">
        <f t="shared" si="102"/>
        <v>1.8332737067273246</v>
      </c>
      <c r="W65">
        <f t="shared" si="103"/>
        <v>1145.9256456195317</v>
      </c>
      <c r="X65">
        <v>300.60000000000002</v>
      </c>
      <c r="Y65">
        <f t="shared" si="90"/>
        <v>0.26232068472251013</v>
      </c>
      <c r="Z65" t="str">
        <f t="shared" si="72"/>
        <v>LC-B64</v>
      </c>
      <c r="AA65">
        <f t="shared" si="91"/>
        <v>490</v>
      </c>
      <c r="AB65">
        <f t="shared" si="109"/>
        <v>517.02058150931066</v>
      </c>
      <c r="AC65">
        <f t="shared" si="93"/>
        <v>519.7880493042129</v>
      </c>
      <c r="AD65">
        <f t="shared" si="94"/>
        <v>325.88344850615891</v>
      </c>
      <c r="AE65">
        <f t="shared" si="95"/>
        <v>391.81101277749724</v>
      </c>
      <c r="AF65">
        <f t="shared" si="104"/>
        <v>1247.9131134303645</v>
      </c>
      <c r="AG65">
        <f t="shared" si="87"/>
        <v>0.24088215498728627</v>
      </c>
    </row>
    <row r="66" spans="1:33" x14ac:dyDescent="0.25">
      <c r="A66">
        <v>65</v>
      </c>
      <c r="B66">
        <v>355</v>
      </c>
      <c r="C66">
        <v>205</v>
      </c>
      <c r="D66">
        <v>0.6</v>
      </c>
      <c r="E66">
        <v>10000</v>
      </c>
      <c r="F66">
        <v>110</v>
      </c>
      <c r="G66">
        <f t="shared" si="96"/>
        <v>150</v>
      </c>
      <c r="H66">
        <v>8</v>
      </c>
      <c r="I66">
        <f t="shared" si="88"/>
        <v>13.75</v>
      </c>
      <c r="J66">
        <f t="shared" si="105"/>
        <v>0.26442667307085166</v>
      </c>
      <c r="K66">
        <f t="shared" si="97"/>
        <v>0.55000000000000004</v>
      </c>
      <c r="L66">
        <f t="shared" si="71"/>
        <v>10</v>
      </c>
      <c r="M66">
        <v>2.5</v>
      </c>
      <c r="N66">
        <f t="shared" si="98"/>
        <v>265</v>
      </c>
      <c r="O66">
        <f t="shared" si="106"/>
        <v>198200</v>
      </c>
      <c r="P66">
        <f t="shared" si="107"/>
        <v>3520</v>
      </c>
      <c r="Q66">
        <f t="shared" si="108"/>
        <v>804.24771931898704</v>
      </c>
      <c r="R66">
        <f t="shared" si="99"/>
        <v>4324.247719318987</v>
      </c>
      <c r="S66">
        <f t="shared" si="89"/>
        <v>14118333.707433984</v>
      </c>
      <c r="T66">
        <f t="shared" si="100"/>
        <v>57.139500414724267</v>
      </c>
      <c r="U66">
        <f t="shared" si="101"/>
        <v>175.01028058381661</v>
      </c>
      <c r="V66">
        <f t="shared" si="102"/>
        <v>2.0369707852525827</v>
      </c>
      <c r="W66">
        <f t="shared" si="103"/>
        <v>1145.9256456195317</v>
      </c>
      <c r="X66">
        <v>248.1</v>
      </c>
      <c r="Y66">
        <f t="shared" si="90"/>
        <v>0.21650619387776032</v>
      </c>
      <c r="Z66" t="str">
        <f t="shared" si="72"/>
        <v>LC-B65</v>
      </c>
      <c r="AA66">
        <f t="shared" si="91"/>
        <v>490</v>
      </c>
      <c r="AB66">
        <f t="shared" si="109"/>
        <v>517.02058150931066</v>
      </c>
      <c r="AC66">
        <f t="shared" si="93"/>
        <v>519.7880493042129</v>
      </c>
      <c r="AD66">
        <f t="shared" si="94"/>
        <v>325.88344850615891</v>
      </c>
      <c r="AE66">
        <f t="shared" si="95"/>
        <v>391.81101277749724</v>
      </c>
      <c r="AF66">
        <f t="shared" si="104"/>
        <v>1247.9131134303645</v>
      </c>
      <c r="AG66">
        <f t="shared" si="87"/>
        <v>0.19881191833781012</v>
      </c>
    </row>
    <row r="67" spans="1:33" x14ac:dyDescent="0.25">
      <c r="A67">
        <v>66</v>
      </c>
      <c r="B67">
        <v>355</v>
      </c>
      <c r="C67">
        <v>205</v>
      </c>
      <c r="D67">
        <v>0.6</v>
      </c>
      <c r="E67">
        <v>12000</v>
      </c>
      <c r="F67">
        <v>110</v>
      </c>
      <c r="G67">
        <f t="shared" si="96"/>
        <v>150</v>
      </c>
      <c r="H67">
        <v>8</v>
      </c>
      <c r="I67">
        <f t="shared" si="88"/>
        <v>13.75</v>
      </c>
      <c r="J67">
        <f t="shared" si="105"/>
        <v>0.26442667307085166</v>
      </c>
      <c r="K67">
        <f t="shared" si="97"/>
        <v>0.55000000000000004</v>
      </c>
      <c r="L67">
        <f t="shared" si="71"/>
        <v>12</v>
      </c>
      <c r="M67">
        <v>2.5</v>
      </c>
      <c r="N67">
        <f t="shared" si="98"/>
        <v>265</v>
      </c>
      <c r="O67">
        <f t="shared" si="106"/>
        <v>198200</v>
      </c>
      <c r="P67">
        <f t="shared" si="107"/>
        <v>3520</v>
      </c>
      <c r="Q67">
        <f t="shared" si="108"/>
        <v>804.24771931898704</v>
      </c>
      <c r="R67">
        <f t="shared" si="99"/>
        <v>4324.247719318987</v>
      </c>
      <c r="S67">
        <f t="shared" si="89"/>
        <v>14118333.707433984</v>
      </c>
      <c r="T67">
        <f t="shared" si="100"/>
        <v>57.139500414724267</v>
      </c>
      <c r="U67">
        <f t="shared" si="101"/>
        <v>210.01233670057994</v>
      </c>
      <c r="V67">
        <f t="shared" si="102"/>
        <v>2.4443649423030998</v>
      </c>
      <c r="W67">
        <f t="shared" si="103"/>
        <v>1145.9256456195317</v>
      </c>
      <c r="X67">
        <v>176.2</v>
      </c>
      <c r="Y67">
        <f t="shared" si="90"/>
        <v>0.15376215784466493</v>
      </c>
      <c r="Z67" t="str">
        <f t="shared" si="72"/>
        <v>LC-B66</v>
      </c>
      <c r="AA67">
        <f t="shared" si="91"/>
        <v>490</v>
      </c>
      <c r="AB67">
        <f t="shared" si="109"/>
        <v>517.02058150931066</v>
      </c>
      <c r="AC67">
        <f t="shared" si="93"/>
        <v>519.7880493042129</v>
      </c>
      <c r="AD67">
        <f t="shared" si="94"/>
        <v>325.88344850615891</v>
      </c>
      <c r="AE67">
        <f t="shared" si="95"/>
        <v>391.81101277749724</v>
      </c>
      <c r="AF67">
        <f t="shared" si="104"/>
        <v>1247.9131134303645</v>
      </c>
      <c r="AG67">
        <f t="shared" si="87"/>
        <v>0.14119572757405136</v>
      </c>
    </row>
    <row r="68" spans="1:33" x14ac:dyDescent="0.25">
      <c r="A68">
        <v>67</v>
      </c>
      <c r="B68">
        <v>355</v>
      </c>
      <c r="C68">
        <v>205</v>
      </c>
      <c r="D68">
        <v>0.7</v>
      </c>
      <c r="E68">
        <v>1000</v>
      </c>
      <c r="F68">
        <v>110</v>
      </c>
      <c r="G68">
        <f>F68+2*H68*M68</f>
        <v>150</v>
      </c>
      <c r="H68">
        <v>8</v>
      </c>
      <c r="I68">
        <f t="shared" si="88"/>
        <v>13.75</v>
      </c>
      <c r="J68">
        <f>SQRT(12*(1-0.3^2)*I68^2*N68/(4*PI()^2*O68))</f>
        <v>0.25768034617741953</v>
      </c>
      <c r="K68">
        <f>H68*I68/200</f>
        <v>0.55000000000000004</v>
      </c>
      <c r="L68">
        <f t="shared" si="71"/>
        <v>1</v>
      </c>
      <c r="M68">
        <v>2.5</v>
      </c>
      <c r="N68">
        <f>D68*C68+(1-D68)*B68</f>
        <v>250</v>
      </c>
      <c r="O68">
        <f>193000*D68+(1-D68)*206000</f>
        <v>196900</v>
      </c>
      <c r="P68">
        <f>H68*I68*H68*4</f>
        <v>3520</v>
      </c>
      <c r="Q68">
        <f>PI()*(M68*H68)^2-PI()*((M68-1)*H68)^2</f>
        <v>804.24771931898704</v>
      </c>
      <c r="R68">
        <f>P68+Q68</f>
        <v>4324.247719318987</v>
      </c>
      <c r="S68">
        <f t="shared" si="89"/>
        <v>14118333.707433984</v>
      </c>
      <c r="T68">
        <f>SQRT(S68/R68)</f>
        <v>57.139500414724267</v>
      </c>
      <c r="U68">
        <f>E68/T68</f>
        <v>17.50102805838166</v>
      </c>
      <c r="V68">
        <f>U68/PI()*SQRT(N68/O68)</f>
        <v>0.19850014788656931</v>
      </c>
      <c r="W68">
        <f>R68*N68/1000</f>
        <v>1081.0619298297468</v>
      </c>
      <c r="X68">
        <v>1183.4000000000001</v>
      </c>
      <c r="Y68">
        <f t="shared" si="90"/>
        <v>1.0946643918784285</v>
      </c>
      <c r="Z68" t="str">
        <f t="shared" si="72"/>
        <v>LC-B67</v>
      </c>
      <c r="AA68">
        <f t="shared" si="91"/>
        <v>490</v>
      </c>
      <c r="AB68">
        <f>C68/(0.2+185*C68/193000)</f>
        <v>517.02058150931066</v>
      </c>
      <c r="AC68">
        <f t="shared" si="93"/>
        <v>519.7880493042129</v>
      </c>
      <c r="AD68">
        <f t="shared" si="94"/>
        <v>325.88344850615891</v>
      </c>
      <c r="AE68">
        <f t="shared" si="95"/>
        <v>373.87483720367732</v>
      </c>
      <c r="AF68">
        <f>(AE68*Q68+N68*P68)/1000</f>
        <v>1180.6879851318151</v>
      </c>
      <c r="AG68">
        <f t="shared" si="87"/>
        <v>1.002296978458608</v>
      </c>
    </row>
    <row r="69" spans="1:33" x14ac:dyDescent="0.25">
      <c r="A69">
        <v>68</v>
      </c>
      <c r="B69">
        <v>355</v>
      </c>
      <c r="C69">
        <v>205</v>
      </c>
      <c r="D69">
        <v>0.7</v>
      </c>
      <c r="E69">
        <v>2000</v>
      </c>
      <c r="F69">
        <v>110</v>
      </c>
      <c r="G69">
        <f t="shared" ref="G69:G78" si="110">F69+2*H69*M69</f>
        <v>150</v>
      </c>
      <c r="H69">
        <v>8</v>
      </c>
      <c r="I69">
        <f t="shared" si="88"/>
        <v>13.75</v>
      </c>
      <c r="J69">
        <f>SQRT(12*(1-0.3^2)*I69^2*N69/(4*PI()^2*O69))</f>
        <v>0.25768034617741953</v>
      </c>
      <c r="K69">
        <f t="shared" ref="K69:K78" si="111">H69*I69/200</f>
        <v>0.55000000000000004</v>
      </c>
      <c r="L69">
        <f t="shared" si="71"/>
        <v>2</v>
      </c>
      <c r="M69">
        <v>2.5</v>
      </c>
      <c r="N69">
        <f t="shared" ref="N69:N78" si="112">D69*C69+(1-D69)*B69</f>
        <v>250</v>
      </c>
      <c r="O69">
        <f>193000*D69+(1-D69)*206000</f>
        <v>196900</v>
      </c>
      <c r="P69">
        <f>H69*I69*H69*4</f>
        <v>3520</v>
      </c>
      <c r="Q69">
        <f>PI()*(M69*H69)^2-PI()*((M69-1)*H69)^2</f>
        <v>804.24771931898704</v>
      </c>
      <c r="R69">
        <f t="shared" ref="R69:R78" si="113">P69+Q69</f>
        <v>4324.247719318987</v>
      </c>
      <c r="S69">
        <f t="shared" si="89"/>
        <v>14118333.707433984</v>
      </c>
      <c r="T69">
        <f t="shared" ref="T69:T78" si="114">SQRT(S69/R69)</f>
        <v>57.139500414724267</v>
      </c>
      <c r="U69">
        <f t="shared" ref="U69:U78" si="115">E69/T69</f>
        <v>35.00205611676332</v>
      </c>
      <c r="V69">
        <f t="shared" ref="V69:V78" si="116">U69/PI()*SQRT(N69/O69)</f>
        <v>0.39700029577313861</v>
      </c>
      <c r="W69">
        <f t="shared" ref="W69:W78" si="117">R69*N69/1000</f>
        <v>1081.0619298297468</v>
      </c>
      <c r="X69">
        <v>1040.5999999999999</v>
      </c>
      <c r="Y69">
        <f t="shared" si="90"/>
        <v>0.96257205187484585</v>
      </c>
      <c r="Z69" t="str">
        <f t="shared" si="72"/>
        <v>LC-B68</v>
      </c>
      <c r="AA69">
        <f t="shared" si="91"/>
        <v>490</v>
      </c>
      <c r="AB69">
        <f>C69/(0.2+185*C69/193000)</f>
        <v>517.02058150931066</v>
      </c>
      <c r="AC69">
        <f t="shared" si="93"/>
        <v>519.7880493042129</v>
      </c>
      <c r="AD69">
        <f t="shared" si="94"/>
        <v>325.88344850615891</v>
      </c>
      <c r="AE69">
        <f t="shared" si="95"/>
        <v>373.87483720367732</v>
      </c>
      <c r="AF69">
        <f t="shared" ref="AF69:AF76" si="118">(AE69*Q69+N69*P69)/1000</f>
        <v>1180.6879851318151</v>
      </c>
      <c r="AG69">
        <f t="shared" si="87"/>
        <v>0.88135054570223692</v>
      </c>
    </row>
    <row r="70" spans="1:33" x14ac:dyDescent="0.25">
      <c r="A70">
        <v>69</v>
      </c>
      <c r="B70">
        <v>355</v>
      </c>
      <c r="C70">
        <v>205</v>
      </c>
      <c r="D70">
        <v>0.7</v>
      </c>
      <c r="E70">
        <v>3000</v>
      </c>
      <c r="F70">
        <v>110</v>
      </c>
      <c r="G70">
        <f t="shared" si="110"/>
        <v>150</v>
      </c>
      <c r="H70">
        <v>8</v>
      </c>
      <c r="I70">
        <f t="shared" si="88"/>
        <v>13.75</v>
      </c>
      <c r="J70">
        <f>SQRT(12*(1-0.3^2)*I70^2*N70/(4*PI()^2*O70))</f>
        <v>0.25768034617741953</v>
      </c>
      <c r="K70">
        <f t="shared" si="111"/>
        <v>0.55000000000000004</v>
      </c>
      <c r="L70">
        <f t="shared" si="71"/>
        <v>3</v>
      </c>
      <c r="M70">
        <v>2.5</v>
      </c>
      <c r="N70">
        <f t="shared" si="112"/>
        <v>250</v>
      </c>
      <c r="O70">
        <f>193000*D70+(1-D70)*206000</f>
        <v>196900</v>
      </c>
      <c r="P70">
        <f>H70*I70*H70*4</f>
        <v>3520</v>
      </c>
      <c r="Q70">
        <f>PI()*(M70*H70)^2-PI()*((M70-1)*H70)^2</f>
        <v>804.24771931898704</v>
      </c>
      <c r="R70">
        <f t="shared" si="113"/>
        <v>4324.247719318987</v>
      </c>
      <c r="S70">
        <f t="shared" si="89"/>
        <v>14118333.707433984</v>
      </c>
      <c r="T70">
        <f t="shared" si="114"/>
        <v>57.139500414724267</v>
      </c>
      <c r="U70">
        <f t="shared" si="115"/>
        <v>52.503084175144984</v>
      </c>
      <c r="V70">
        <f t="shared" si="116"/>
        <v>0.595500443659708</v>
      </c>
      <c r="W70">
        <f t="shared" si="117"/>
        <v>1081.0619298297468</v>
      </c>
      <c r="X70">
        <v>899.9</v>
      </c>
      <c r="Y70">
        <f t="shared" si="90"/>
        <v>0.8324222462830807</v>
      </c>
      <c r="Z70" t="str">
        <f t="shared" si="72"/>
        <v>LC-B69</v>
      </c>
      <c r="AA70">
        <f t="shared" si="91"/>
        <v>490</v>
      </c>
      <c r="AB70">
        <f>C70/(0.2+185*C70/193000)</f>
        <v>517.02058150931066</v>
      </c>
      <c r="AC70">
        <f t="shared" si="93"/>
        <v>519.7880493042129</v>
      </c>
      <c r="AD70">
        <f t="shared" si="94"/>
        <v>325.88344850615891</v>
      </c>
      <c r="AE70">
        <f t="shared" si="95"/>
        <v>373.87483720367732</v>
      </c>
      <c r="AF70">
        <f t="shared" si="118"/>
        <v>1180.6879851318151</v>
      </c>
      <c r="AG70">
        <f t="shared" si="87"/>
        <v>0.76218273695698935</v>
      </c>
    </row>
    <row r="71" spans="1:33" x14ac:dyDescent="0.25">
      <c r="A71">
        <v>70</v>
      </c>
      <c r="B71">
        <v>355</v>
      </c>
      <c r="C71">
        <v>205</v>
      </c>
      <c r="D71">
        <v>0.7</v>
      </c>
      <c r="E71">
        <v>4000</v>
      </c>
      <c r="F71">
        <v>110</v>
      </c>
      <c r="G71">
        <f t="shared" si="110"/>
        <v>150</v>
      </c>
      <c r="H71">
        <v>8</v>
      </c>
      <c r="I71">
        <f t="shared" si="88"/>
        <v>13.75</v>
      </c>
      <c r="J71">
        <f t="shared" ref="J71:J78" si="119">SQRT(12*(1-0.3^2)*I71^2*N71/(4*PI()^2*O71))</f>
        <v>0.25768034617741953</v>
      </c>
      <c r="K71">
        <f t="shared" si="111"/>
        <v>0.55000000000000004</v>
      </c>
      <c r="L71">
        <f t="shared" si="71"/>
        <v>4</v>
      </c>
      <c r="M71">
        <v>2.5</v>
      </c>
      <c r="N71">
        <f t="shared" si="112"/>
        <v>250</v>
      </c>
      <c r="O71">
        <f t="shared" ref="O71:O78" si="120">193000*D71+(1-D71)*206000</f>
        <v>196900</v>
      </c>
      <c r="P71">
        <f t="shared" ref="P71:P78" si="121">H71*I71*H71*4</f>
        <v>3520</v>
      </c>
      <c r="Q71">
        <f t="shared" ref="Q71:Q78" si="122">PI()*(M71*H71)^2-PI()*((M71-1)*H71)^2</f>
        <v>804.24771931898704</v>
      </c>
      <c r="R71">
        <f t="shared" si="113"/>
        <v>4324.247719318987</v>
      </c>
      <c r="S71">
        <f t="shared" si="89"/>
        <v>14118333.707433984</v>
      </c>
      <c r="T71">
        <f t="shared" si="114"/>
        <v>57.139500414724267</v>
      </c>
      <c r="U71">
        <f t="shared" si="115"/>
        <v>70.004112233526641</v>
      </c>
      <c r="V71">
        <f t="shared" si="116"/>
        <v>0.79400059154627722</v>
      </c>
      <c r="W71">
        <f t="shared" si="117"/>
        <v>1081.0619298297468</v>
      </c>
      <c r="X71">
        <v>795.7</v>
      </c>
      <c r="Y71">
        <f t="shared" si="90"/>
        <v>0.73603553880147499</v>
      </c>
      <c r="Z71" t="str">
        <f t="shared" si="72"/>
        <v>LC-B70</v>
      </c>
      <c r="AA71">
        <f t="shared" si="91"/>
        <v>490</v>
      </c>
      <c r="AB71">
        <f t="shared" ref="AB71:AB76" si="123">C71/(0.2+185*C71/193000)</f>
        <v>517.02058150931066</v>
      </c>
      <c r="AC71">
        <f t="shared" si="93"/>
        <v>519.7880493042129</v>
      </c>
      <c r="AD71">
        <f t="shared" si="94"/>
        <v>325.88344850615891</v>
      </c>
      <c r="AE71">
        <f t="shared" si="95"/>
        <v>373.87483720367732</v>
      </c>
      <c r="AF71">
        <f t="shared" si="118"/>
        <v>1180.6879851318151</v>
      </c>
      <c r="AG71">
        <f t="shared" si="87"/>
        <v>0.67392910745269086</v>
      </c>
    </row>
    <row r="72" spans="1:33" x14ac:dyDescent="0.25">
      <c r="A72">
        <v>71</v>
      </c>
      <c r="B72">
        <v>355</v>
      </c>
      <c r="C72">
        <v>205</v>
      </c>
      <c r="D72">
        <v>0.7</v>
      </c>
      <c r="E72">
        <v>5000</v>
      </c>
      <c r="F72">
        <v>110</v>
      </c>
      <c r="G72">
        <f t="shared" si="110"/>
        <v>150</v>
      </c>
      <c r="H72">
        <v>8</v>
      </c>
      <c r="I72">
        <f t="shared" si="88"/>
        <v>13.75</v>
      </c>
      <c r="J72">
        <f t="shared" si="119"/>
        <v>0.25768034617741953</v>
      </c>
      <c r="K72">
        <f t="shared" si="111"/>
        <v>0.55000000000000004</v>
      </c>
      <c r="L72">
        <f t="shared" si="71"/>
        <v>5</v>
      </c>
      <c r="M72">
        <v>2.5</v>
      </c>
      <c r="N72">
        <f t="shared" si="112"/>
        <v>250</v>
      </c>
      <c r="O72">
        <f t="shared" si="120"/>
        <v>196900</v>
      </c>
      <c r="P72">
        <f t="shared" si="121"/>
        <v>3520</v>
      </c>
      <c r="Q72">
        <f t="shared" si="122"/>
        <v>804.24771931898704</v>
      </c>
      <c r="R72">
        <f t="shared" si="113"/>
        <v>4324.247719318987</v>
      </c>
      <c r="S72">
        <f t="shared" si="89"/>
        <v>14118333.707433984</v>
      </c>
      <c r="T72">
        <f t="shared" si="114"/>
        <v>57.139500414724267</v>
      </c>
      <c r="U72">
        <f t="shared" si="115"/>
        <v>87.505140291908305</v>
      </c>
      <c r="V72">
        <f t="shared" si="116"/>
        <v>0.99250073943284645</v>
      </c>
      <c r="W72">
        <f t="shared" si="117"/>
        <v>1081.0619298297468</v>
      </c>
      <c r="X72">
        <v>687.3</v>
      </c>
      <c r="Y72">
        <f t="shared" si="90"/>
        <v>0.63576376249623445</v>
      </c>
      <c r="Z72" t="str">
        <f t="shared" si="72"/>
        <v>LC-B71</v>
      </c>
      <c r="AA72">
        <f t="shared" si="91"/>
        <v>490</v>
      </c>
      <c r="AB72">
        <f t="shared" si="123"/>
        <v>517.02058150931066</v>
      </c>
      <c r="AC72">
        <f t="shared" si="93"/>
        <v>519.7880493042129</v>
      </c>
      <c r="AD72">
        <f t="shared" si="94"/>
        <v>325.88344850615891</v>
      </c>
      <c r="AE72">
        <f t="shared" si="95"/>
        <v>373.87483720367732</v>
      </c>
      <c r="AF72">
        <f t="shared" si="118"/>
        <v>1180.6879851318151</v>
      </c>
      <c r="AG72">
        <f t="shared" si="87"/>
        <v>0.58211822992614592</v>
      </c>
    </row>
    <row r="73" spans="1:33" x14ac:dyDescent="0.25">
      <c r="A73">
        <v>72</v>
      </c>
      <c r="B73">
        <v>355</v>
      </c>
      <c r="C73">
        <v>205</v>
      </c>
      <c r="D73">
        <v>0.7</v>
      </c>
      <c r="E73">
        <v>6000</v>
      </c>
      <c r="F73">
        <v>110</v>
      </c>
      <c r="G73">
        <f t="shared" si="110"/>
        <v>150</v>
      </c>
      <c r="H73">
        <v>8</v>
      </c>
      <c r="I73">
        <f t="shared" si="88"/>
        <v>13.75</v>
      </c>
      <c r="J73">
        <f t="shared" si="119"/>
        <v>0.25768034617741953</v>
      </c>
      <c r="K73">
        <f t="shared" si="111"/>
        <v>0.55000000000000004</v>
      </c>
      <c r="L73">
        <f t="shared" si="71"/>
        <v>6</v>
      </c>
      <c r="M73">
        <v>2.5</v>
      </c>
      <c r="N73">
        <f t="shared" si="112"/>
        <v>250</v>
      </c>
      <c r="O73">
        <f t="shared" si="120"/>
        <v>196900</v>
      </c>
      <c r="P73">
        <f t="shared" si="121"/>
        <v>3520</v>
      </c>
      <c r="Q73">
        <f t="shared" si="122"/>
        <v>804.24771931898704</v>
      </c>
      <c r="R73">
        <f t="shared" si="113"/>
        <v>4324.247719318987</v>
      </c>
      <c r="S73">
        <f t="shared" si="89"/>
        <v>14118333.707433984</v>
      </c>
      <c r="T73">
        <f t="shared" si="114"/>
        <v>57.139500414724267</v>
      </c>
      <c r="U73">
        <f t="shared" si="115"/>
        <v>105.00616835028997</v>
      </c>
      <c r="V73">
        <f t="shared" si="116"/>
        <v>1.191000887319416</v>
      </c>
      <c r="W73">
        <f t="shared" si="117"/>
        <v>1081.0619298297468</v>
      </c>
      <c r="X73">
        <v>563.4</v>
      </c>
      <c r="Y73">
        <f t="shared" si="90"/>
        <v>0.52115423219900836</v>
      </c>
      <c r="Z73" t="str">
        <f t="shared" si="72"/>
        <v>LC-B72</v>
      </c>
      <c r="AA73" s="4">
        <f t="shared" si="91"/>
        <v>490</v>
      </c>
      <c r="AB73" s="4">
        <f t="shared" si="123"/>
        <v>517.02058150931066</v>
      </c>
      <c r="AC73" s="4">
        <f t="shared" si="93"/>
        <v>519.7880493042129</v>
      </c>
      <c r="AD73" s="4">
        <f t="shared" si="94"/>
        <v>325.88344850615891</v>
      </c>
      <c r="AE73" s="4">
        <f t="shared" si="95"/>
        <v>373.87483720367732</v>
      </c>
      <c r="AF73" s="4">
        <f t="shared" si="118"/>
        <v>1180.6879851318151</v>
      </c>
      <c r="AG73" s="4">
        <f t="shared" si="87"/>
        <v>0.47717941326988306</v>
      </c>
    </row>
    <row r="74" spans="1:33" x14ac:dyDescent="0.25">
      <c r="A74">
        <v>73</v>
      </c>
      <c r="B74">
        <v>355</v>
      </c>
      <c r="C74">
        <v>205</v>
      </c>
      <c r="D74">
        <v>0.7</v>
      </c>
      <c r="E74">
        <v>7000</v>
      </c>
      <c r="F74">
        <v>110</v>
      </c>
      <c r="G74">
        <f t="shared" si="110"/>
        <v>150</v>
      </c>
      <c r="H74">
        <v>8</v>
      </c>
      <c r="I74">
        <f t="shared" si="88"/>
        <v>13.75</v>
      </c>
      <c r="J74">
        <f t="shared" si="119"/>
        <v>0.25768034617741953</v>
      </c>
      <c r="K74">
        <f t="shared" si="111"/>
        <v>0.55000000000000004</v>
      </c>
      <c r="L74">
        <f t="shared" si="71"/>
        <v>7</v>
      </c>
      <c r="M74">
        <v>2.5</v>
      </c>
      <c r="N74">
        <f t="shared" si="112"/>
        <v>250</v>
      </c>
      <c r="O74">
        <f t="shared" si="120"/>
        <v>196900</v>
      </c>
      <c r="P74">
        <f t="shared" si="121"/>
        <v>3520</v>
      </c>
      <c r="Q74">
        <f t="shared" si="122"/>
        <v>804.24771931898704</v>
      </c>
      <c r="R74">
        <f t="shared" si="113"/>
        <v>4324.247719318987</v>
      </c>
      <c r="S74">
        <f t="shared" si="89"/>
        <v>14118333.707433984</v>
      </c>
      <c r="T74">
        <f t="shared" si="114"/>
        <v>57.139500414724267</v>
      </c>
      <c r="U74">
        <f t="shared" si="115"/>
        <v>122.50719640867163</v>
      </c>
      <c r="V74">
        <f t="shared" si="116"/>
        <v>1.3895010352059851</v>
      </c>
      <c r="W74">
        <f t="shared" si="117"/>
        <v>1081.0619298297468</v>
      </c>
      <c r="X74">
        <v>452.2</v>
      </c>
      <c r="Y74">
        <f t="shared" si="90"/>
        <v>0.41829241001134471</v>
      </c>
      <c r="Z74" t="str">
        <f t="shared" si="72"/>
        <v>LC-B73</v>
      </c>
      <c r="AA74" s="4">
        <f t="shared" si="91"/>
        <v>490</v>
      </c>
      <c r="AB74" s="4">
        <f t="shared" si="123"/>
        <v>517.02058150931066</v>
      </c>
      <c r="AC74" s="4">
        <f t="shared" si="93"/>
        <v>519.7880493042129</v>
      </c>
      <c r="AD74" s="4">
        <f t="shared" si="94"/>
        <v>325.88344850615891</v>
      </c>
      <c r="AE74" s="4">
        <f t="shared" si="95"/>
        <v>373.87483720367732</v>
      </c>
      <c r="AF74" s="4">
        <f t="shared" si="118"/>
        <v>1180.6879851318151</v>
      </c>
      <c r="AG74" s="4">
        <f t="shared" si="87"/>
        <v>0.38299703706184085</v>
      </c>
    </row>
    <row r="75" spans="1:33" x14ac:dyDescent="0.25">
      <c r="A75">
        <v>74</v>
      </c>
      <c r="B75">
        <v>355</v>
      </c>
      <c r="C75">
        <v>205</v>
      </c>
      <c r="D75">
        <v>0.7</v>
      </c>
      <c r="E75">
        <v>8000</v>
      </c>
      <c r="F75">
        <v>110</v>
      </c>
      <c r="G75">
        <f t="shared" si="110"/>
        <v>150</v>
      </c>
      <c r="H75">
        <v>8</v>
      </c>
      <c r="I75">
        <f t="shared" si="88"/>
        <v>13.75</v>
      </c>
      <c r="J75">
        <f t="shared" si="119"/>
        <v>0.25768034617741953</v>
      </c>
      <c r="K75">
        <f t="shared" si="111"/>
        <v>0.55000000000000004</v>
      </c>
      <c r="L75">
        <f t="shared" si="71"/>
        <v>8</v>
      </c>
      <c r="M75">
        <v>2.5</v>
      </c>
      <c r="N75">
        <f t="shared" si="112"/>
        <v>250</v>
      </c>
      <c r="O75">
        <f t="shared" si="120"/>
        <v>196900</v>
      </c>
      <c r="P75">
        <f t="shared" si="121"/>
        <v>3520</v>
      </c>
      <c r="Q75">
        <f t="shared" si="122"/>
        <v>804.24771931898704</v>
      </c>
      <c r="R75">
        <f t="shared" si="113"/>
        <v>4324.247719318987</v>
      </c>
      <c r="S75">
        <f t="shared" si="89"/>
        <v>14118333.707433984</v>
      </c>
      <c r="T75">
        <f t="shared" si="114"/>
        <v>57.139500414724267</v>
      </c>
      <c r="U75">
        <f t="shared" si="115"/>
        <v>140.00822446705328</v>
      </c>
      <c r="V75">
        <f t="shared" si="116"/>
        <v>1.5880011830925544</v>
      </c>
      <c r="W75">
        <f t="shared" si="117"/>
        <v>1081.0619298297468</v>
      </c>
      <c r="X75">
        <v>364</v>
      </c>
      <c r="Y75">
        <f t="shared" si="90"/>
        <v>0.33670596471501429</v>
      </c>
      <c r="Z75" t="str">
        <f t="shared" si="72"/>
        <v>LC-B74</v>
      </c>
      <c r="AA75" s="4">
        <f t="shared" si="91"/>
        <v>490</v>
      </c>
      <c r="AB75" s="4">
        <f t="shared" si="123"/>
        <v>517.02058150931066</v>
      </c>
      <c r="AC75" s="4">
        <f t="shared" si="93"/>
        <v>519.7880493042129</v>
      </c>
      <c r="AD75" s="4">
        <f t="shared" si="94"/>
        <v>325.88344850615891</v>
      </c>
      <c r="AE75" s="4">
        <f t="shared" si="95"/>
        <v>373.87483720367732</v>
      </c>
      <c r="AF75" s="4">
        <f t="shared" si="118"/>
        <v>1180.6879851318151</v>
      </c>
      <c r="AG75" s="4">
        <f t="shared" si="87"/>
        <v>0.30829482859467067</v>
      </c>
    </row>
    <row r="76" spans="1:33" x14ac:dyDescent="0.25">
      <c r="A76">
        <v>75</v>
      </c>
      <c r="B76">
        <v>355</v>
      </c>
      <c r="C76">
        <v>205</v>
      </c>
      <c r="D76">
        <v>0.7</v>
      </c>
      <c r="E76">
        <v>9000</v>
      </c>
      <c r="F76">
        <v>110</v>
      </c>
      <c r="G76">
        <f t="shared" si="110"/>
        <v>150</v>
      </c>
      <c r="H76">
        <v>8</v>
      </c>
      <c r="I76">
        <f t="shared" si="88"/>
        <v>13.75</v>
      </c>
      <c r="J76">
        <f t="shared" si="119"/>
        <v>0.25768034617741953</v>
      </c>
      <c r="K76">
        <f t="shared" si="111"/>
        <v>0.55000000000000004</v>
      </c>
      <c r="L76">
        <f t="shared" si="71"/>
        <v>9</v>
      </c>
      <c r="M76">
        <v>2.5</v>
      </c>
      <c r="N76">
        <f t="shared" si="112"/>
        <v>250</v>
      </c>
      <c r="O76">
        <f t="shared" si="120"/>
        <v>196900</v>
      </c>
      <c r="P76">
        <f t="shared" si="121"/>
        <v>3520</v>
      </c>
      <c r="Q76">
        <f t="shared" si="122"/>
        <v>804.24771931898704</v>
      </c>
      <c r="R76">
        <f t="shared" si="113"/>
        <v>4324.247719318987</v>
      </c>
      <c r="S76">
        <f t="shared" si="89"/>
        <v>14118333.707433984</v>
      </c>
      <c r="T76">
        <f t="shared" si="114"/>
        <v>57.139500414724267</v>
      </c>
      <c r="U76">
        <f t="shared" si="115"/>
        <v>157.50925252543496</v>
      </c>
      <c r="V76">
        <f t="shared" si="116"/>
        <v>1.7865013309791238</v>
      </c>
      <c r="W76">
        <f t="shared" si="117"/>
        <v>1081.0619298297468</v>
      </c>
      <c r="X76">
        <v>296.2</v>
      </c>
      <c r="Y76">
        <f t="shared" si="90"/>
        <v>0.27398985370490997</v>
      </c>
      <c r="Z76" t="str">
        <f t="shared" si="72"/>
        <v>LC-B75</v>
      </c>
      <c r="AA76" s="4">
        <f t="shared" si="91"/>
        <v>490</v>
      </c>
      <c r="AB76" s="4">
        <f t="shared" si="123"/>
        <v>517.02058150931066</v>
      </c>
      <c r="AC76" s="4">
        <f t="shared" si="93"/>
        <v>519.7880493042129</v>
      </c>
      <c r="AD76" s="4">
        <f t="shared" si="94"/>
        <v>325.88344850615891</v>
      </c>
      <c r="AE76" s="4">
        <f t="shared" si="95"/>
        <v>373.87483720367732</v>
      </c>
      <c r="AF76" s="4">
        <f t="shared" si="118"/>
        <v>1180.6879851318151</v>
      </c>
      <c r="AG76" s="4">
        <f t="shared" si="87"/>
        <v>0.25087068194983914</v>
      </c>
    </row>
    <row r="77" spans="1:33" x14ac:dyDescent="0.25">
      <c r="A77">
        <v>76</v>
      </c>
      <c r="B77">
        <v>355</v>
      </c>
      <c r="C77">
        <v>205</v>
      </c>
      <c r="D77">
        <v>0.7</v>
      </c>
      <c r="E77">
        <v>10000</v>
      </c>
      <c r="F77">
        <v>110</v>
      </c>
      <c r="G77">
        <f t="shared" si="110"/>
        <v>150</v>
      </c>
      <c r="H77">
        <v>8</v>
      </c>
      <c r="I77">
        <f t="shared" si="88"/>
        <v>13.75</v>
      </c>
      <c r="J77">
        <f t="shared" si="119"/>
        <v>0.25768034617741953</v>
      </c>
      <c r="K77">
        <f t="shared" si="111"/>
        <v>0.55000000000000004</v>
      </c>
      <c r="L77">
        <f t="shared" si="71"/>
        <v>10</v>
      </c>
      <c r="M77">
        <v>2.5</v>
      </c>
      <c r="N77">
        <f t="shared" si="112"/>
        <v>250</v>
      </c>
      <c r="O77">
        <f t="shared" si="120"/>
        <v>196900</v>
      </c>
      <c r="P77">
        <f t="shared" si="121"/>
        <v>3520</v>
      </c>
      <c r="Q77">
        <f t="shared" si="122"/>
        <v>804.24771931898704</v>
      </c>
      <c r="R77">
        <f t="shared" si="113"/>
        <v>4324.247719318987</v>
      </c>
      <c r="S77">
        <f t="shared" si="89"/>
        <v>14118333.707433984</v>
      </c>
      <c r="T77">
        <f t="shared" si="114"/>
        <v>57.139500414724267</v>
      </c>
      <c r="U77">
        <f t="shared" si="115"/>
        <v>175.01028058381661</v>
      </c>
      <c r="V77">
        <f t="shared" si="116"/>
        <v>1.9850014788656929</v>
      </c>
      <c r="W77">
        <f t="shared" si="117"/>
        <v>1081.0619298297468</v>
      </c>
      <c r="X77">
        <v>244.8</v>
      </c>
      <c r="Y77">
        <f t="shared" si="90"/>
        <v>0.22644401143471293</v>
      </c>
      <c r="Z77" t="str">
        <f t="shared" si="72"/>
        <v>LC-B76</v>
      </c>
      <c r="AA77" s="4">
        <f t="shared" si="91"/>
        <v>490</v>
      </c>
      <c r="AB77" s="4">
        <f>C77/(0.2+185*C77/193000)</f>
        <v>517.02058150931066</v>
      </c>
      <c r="AC77" s="4">
        <f t="shared" si="93"/>
        <v>519.7880493042129</v>
      </c>
      <c r="AD77" s="4">
        <f t="shared" si="94"/>
        <v>325.88344850615891</v>
      </c>
      <c r="AE77" s="4">
        <f t="shared" si="95"/>
        <v>373.87483720367732</v>
      </c>
      <c r="AF77" s="4">
        <f>(AE77*Q77+N77*P77)/1000</f>
        <v>1180.6879851318151</v>
      </c>
      <c r="AG77" s="4">
        <f t="shared" si="87"/>
        <v>0.20733674186806422</v>
      </c>
    </row>
    <row r="78" spans="1:33" x14ac:dyDescent="0.25">
      <c r="A78">
        <v>77</v>
      </c>
      <c r="B78">
        <v>355</v>
      </c>
      <c r="C78">
        <v>205</v>
      </c>
      <c r="D78">
        <v>0.7</v>
      </c>
      <c r="E78">
        <v>12000</v>
      </c>
      <c r="F78">
        <v>110</v>
      </c>
      <c r="G78">
        <f t="shared" si="110"/>
        <v>150</v>
      </c>
      <c r="H78">
        <v>8</v>
      </c>
      <c r="I78">
        <f t="shared" si="88"/>
        <v>13.75</v>
      </c>
      <c r="J78">
        <f t="shared" si="119"/>
        <v>0.25768034617741953</v>
      </c>
      <c r="K78">
        <f t="shared" si="111"/>
        <v>0.55000000000000004</v>
      </c>
      <c r="L78">
        <f t="shared" si="71"/>
        <v>12</v>
      </c>
      <c r="M78">
        <v>2.5</v>
      </c>
      <c r="N78">
        <f t="shared" si="112"/>
        <v>250</v>
      </c>
      <c r="O78">
        <f t="shared" si="120"/>
        <v>196900</v>
      </c>
      <c r="P78">
        <f t="shared" si="121"/>
        <v>3520</v>
      </c>
      <c r="Q78">
        <f t="shared" si="122"/>
        <v>804.24771931898704</v>
      </c>
      <c r="R78">
        <f t="shared" si="113"/>
        <v>4324.247719318987</v>
      </c>
      <c r="S78">
        <f t="shared" si="89"/>
        <v>14118333.707433984</v>
      </c>
      <c r="T78">
        <f t="shared" si="114"/>
        <v>57.139500414724267</v>
      </c>
      <c r="U78">
        <f t="shared" si="115"/>
        <v>210.01233670057994</v>
      </c>
      <c r="V78">
        <f t="shared" si="116"/>
        <v>2.382001774638832</v>
      </c>
      <c r="W78">
        <f t="shared" si="117"/>
        <v>1081.0619298297468</v>
      </c>
      <c r="X78">
        <v>174.2</v>
      </c>
      <c r="Y78">
        <f t="shared" si="90"/>
        <v>0.1611378545421854</v>
      </c>
      <c r="Z78" t="str">
        <f t="shared" si="72"/>
        <v>LC-B77</v>
      </c>
      <c r="AA78" s="4">
        <f t="shared" si="91"/>
        <v>490</v>
      </c>
      <c r="AB78" s="4">
        <f>C78/(0.2+185*C78/193000)</f>
        <v>517.02058150931066</v>
      </c>
      <c r="AC78" s="4">
        <f t="shared" si="93"/>
        <v>519.7880493042129</v>
      </c>
      <c r="AD78" s="4">
        <f t="shared" si="94"/>
        <v>325.88344850615891</v>
      </c>
      <c r="AE78" s="4">
        <f t="shared" si="95"/>
        <v>373.87483720367732</v>
      </c>
      <c r="AF78" s="4">
        <f t="shared" ref="AF78:AF85" si="124">(AE78*Q78+N78*P78)/1000</f>
        <v>1180.6879851318151</v>
      </c>
      <c r="AG78" s="4">
        <f t="shared" si="87"/>
        <v>0.14754109654173522</v>
      </c>
    </row>
    <row r="79" spans="1:33" x14ac:dyDescent="0.25">
      <c r="A79">
        <v>78</v>
      </c>
      <c r="B79">
        <v>355</v>
      </c>
      <c r="C79">
        <v>205</v>
      </c>
      <c r="D79">
        <v>0.8</v>
      </c>
      <c r="E79">
        <v>1000</v>
      </c>
      <c r="F79">
        <v>110</v>
      </c>
      <c r="G79">
        <f>F79+2*H79*M79</f>
        <v>150</v>
      </c>
      <c r="H79">
        <v>8</v>
      </c>
      <c r="I79">
        <f t="shared" si="88"/>
        <v>13.75</v>
      </c>
      <c r="J79">
        <f>SQRT(12*(1-0.3^2)*I79^2*N79/(4*PI()^2*O79))</f>
        <v>0.25065920326367425</v>
      </c>
      <c r="K79">
        <f>H79*I79/200</f>
        <v>0.55000000000000004</v>
      </c>
      <c r="L79">
        <f t="shared" ref="L79:L100" si="125">E79/1000</f>
        <v>1</v>
      </c>
      <c r="M79">
        <v>2.5</v>
      </c>
      <c r="N79">
        <f>D79*C79+(1-D79)*B79</f>
        <v>235</v>
      </c>
      <c r="O79">
        <f>193000*D79+(1-D79)*206000</f>
        <v>195600</v>
      </c>
      <c r="P79">
        <f>H79*I79*H79*4</f>
        <v>3520</v>
      </c>
      <c r="Q79">
        <f>PI()*(M79*H79)^2-PI()*((M79-1)*H79)^2</f>
        <v>804.24771931898704</v>
      </c>
      <c r="R79">
        <f>P79+Q79</f>
        <v>4324.247719318987</v>
      </c>
      <c r="S79">
        <f t="shared" si="89"/>
        <v>14118333.707433984</v>
      </c>
      <c r="T79">
        <f>SQRT(S79/R79)</f>
        <v>57.139500414724267</v>
      </c>
      <c r="U79">
        <f>E79/T79</f>
        <v>17.50102805838166</v>
      </c>
      <c r="V79">
        <f>U79/PI()*SQRT(N79/O79)</f>
        <v>0.19309151689322382</v>
      </c>
      <c r="W79">
        <f>R79*N79/1000</f>
        <v>1016.198214039962</v>
      </c>
      <c r="X79">
        <v>1125.5999999999999</v>
      </c>
      <c r="Y79">
        <f t="shared" si="90"/>
        <v>1.1076579199299161</v>
      </c>
      <c r="Z79" t="str">
        <f t="shared" ref="Z79:Z100" si="126">"LC-B"&amp;A79</f>
        <v>LC-B78</v>
      </c>
      <c r="AA79">
        <f t="shared" si="91"/>
        <v>490</v>
      </c>
      <c r="AB79">
        <f>C79/(0.2+185*C79/193000)</f>
        <v>517.02058150931066</v>
      </c>
      <c r="AC79">
        <f t="shared" si="93"/>
        <v>519.7880493042129</v>
      </c>
      <c r="AD79">
        <f t="shared" si="94"/>
        <v>325.88344850615891</v>
      </c>
      <c r="AE79">
        <f t="shared" si="95"/>
        <v>356.90818463384755</v>
      </c>
      <c r="AF79">
        <f t="shared" si="124"/>
        <v>1114.242593498052</v>
      </c>
      <c r="AG79">
        <f t="shared" si="87"/>
        <v>1.0101929387444188</v>
      </c>
    </row>
    <row r="80" spans="1:33" x14ac:dyDescent="0.25">
      <c r="A80">
        <v>79</v>
      </c>
      <c r="B80">
        <v>355</v>
      </c>
      <c r="C80">
        <v>205</v>
      </c>
      <c r="D80">
        <v>0.8</v>
      </c>
      <c r="E80">
        <v>2000</v>
      </c>
      <c r="F80">
        <v>110</v>
      </c>
      <c r="G80">
        <f t="shared" ref="G80:G89" si="127">F80+2*H80*M80</f>
        <v>150</v>
      </c>
      <c r="H80">
        <v>8</v>
      </c>
      <c r="I80">
        <f t="shared" si="88"/>
        <v>13.75</v>
      </c>
      <c r="J80">
        <f>SQRT(12*(1-0.3^2)*I80^2*N80/(4*PI()^2*O80))</f>
        <v>0.25065920326367425</v>
      </c>
      <c r="K80">
        <f t="shared" ref="K80:K89" si="128">H80*I80/200</f>
        <v>0.55000000000000004</v>
      </c>
      <c r="L80">
        <f t="shared" si="125"/>
        <v>2</v>
      </c>
      <c r="M80">
        <v>2.5</v>
      </c>
      <c r="N80">
        <f t="shared" ref="N80:N89" si="129">D80*C80+(1-D80)*B80</f>
        <v>235</v>
      </c>
      <c r="O80">
        <f>193000*D80+(1-D80)*206000</f>
        <v>195600</v>
      </c>
      <c r="P80">
        <f>H80*I80*H80*4</f>
        <v>3520</v>
      </c>
      <c r="Q80">
        <f>PI()*(M80*H80)^2-PI()*((M80-1)*H80)^2</f>
        <v>804.24771931898704</v>
      </c>
      <c r="R80">
        <f t="shared" ref="R80:R89" si="130">P80+Q80</f>
        <v>4324.247719318987</v>
      </c>
      <c r="S80">
        <f t="shared" si="89"/>
        <v>14118333.707433984</v>
      </c>
      <c r="T80">
        <f t="shared" ref="T80:T89" si="131">SQRT(S80/R80)</f>
        <v>57.139500414724267</v>
      </c>
      <c r="U80">
        <f t="shared" ref="U80:U89" si="132">E80/T80</f>
        <v>35.00205611676332</v>
      </c>
      <c r="V80">
        <f t="shared" ref="V80:V89" si="133">U80/PI()*SQRT(N80/O80)</f>
        <v>0.38618303378644764</v>
      </c>
      <c r="W80">
        <f t="shared" ref="W80:W89" si="134">R80*N80/1000</f>
        <v>1016.198214039962</v>
      </c>
      <c r="X80">
        <v>990.8</v>
      </c>
      <c r="Y80">
        <f t="shared" si="90"/>
        <v>0.97500663385444286</v>
      </c>
      <c r="Z80" t="str">
        <f t="shared" si="126"/>
        <v>LC-B79</v>
      </c>
      <c r="AA80">
        <f t="shared" si="91"/>
        <v>490</v>
      </c>
      <c r="AB80">
        <f t="shared" ref="AB80:AB85" si="135">C80/(0.2+185*C80/193000)</f>
        <v>517.02058150931066</v>
      </c>
      <c r="AC80">
        <f t="shared" si="93"/>
        <v>519.7880493042129</v>
      </c>
      <c r="AD80">
        <f t="shared" si="94"/>
        <v>325.88344850615891</v>
      </c>
      <c r="AE80">
        <f t="shared" si="95"/>
        <v>356.90818463384755</v>
      </c>
      <c r="AF80">
        <f t="shared" si="124"/>
        <v>1114.242593498052</v>
      </c>
      <c r="AG80">
        <f t="shared" si="87"/>
        <v>0.88921389810587259</v>
      </c>
    </row>
    <row r="81" spans="1:33" x14ac:dyDescent="0.25">
      <c r="A81">
        <v>80</v>
      </c>
      <c r="B81">
        <v>355</v>
      </c>
      <c r="C81">
        <v>205</v>
      </c>
      <c r="D81">
        <v>0.8</v>
      </c>
      <c r="E81">
        <v>3000</v>
      </c>
      <c r="F81">
        <v>110</v>
      </c>
      <c r="G81">
        <f t="shared" si="127"/>
        <v>150</v>
      </c>
      <c r="H81">
        <v>8</v>
      </c>
      <c r="I81">
        <f t="shared" si="88"/>
        <v>13.75</v>
      </c>
      <c r="J81">
        <f>SQRT(12*(1-0.3^2)*I81^2*N81/(4*PI()^2*O81))</f>
        <v>0.25065920326367425</v>
      </c>
      <c r="K81">
        <f t="shared" si="128"/>
        <v>0.55000000000000004</v>
      </c>
      <c r="L81">
        <f t="shared" si="125"/>
        <v>3</v>
      </c>
      <c r="M81">
        <v>2.5</v>
      </c>
      <c r="N81">
        <f t="shared" si="129"/>
        <v>235</v>
      </c>
      <c r="O81">
        <f>193000*D81+(1-D81)*206000</f>
        <v>195600</v>
      </c>
      <c r="P81">
        <f>H81*I81*H81*4</f>
        <v>3520</v>
      </c>
      <c r="Q81">
        <f>PI()*(M81*H81)^2-PI()*((M81-1)*H81)^2</f>
        <v>804.24771931898704</v>
      </c>
      <c r="R81">
        <f t="shared" si="130"/>
        <v>4324.247719318987</v>
      </c>
      <c r="S81">
        <f t="shared" si="89"/>
        <v>14118333.707433984</v>
      </c>
      <c r="T81">
        <f t="shared" si="131"/>
        <v>57.139500414724267</v>
      </c>
      <c r="U81">
        <f t="shared" si="132"/>
        <v>52.503084175144984</v>
      </c>
      <c r="V81">
        <f t="shared" si="133"/>
        <v>0.5792745506796716</v>
      </c>
      <c r="W81">
        <f t="shared" si="134"/>
        <v>1016.198214039962</v>
      </c>
      <c r="X81">
        <v>857</v>
      </c>
      <c r="Y81">
        <f t="shared" si="90"/>
        <v>0.84333940776469274</v>
      </c>
      <c r="Z81" t="str">
        <f t="shared" si="126"/>
        <v>LC-B80</v>
      </c>
      <c r="AA81">
        <f t="shared" si="91"/>
        <v>490</v>
      </c>
      <c r="AB81">
        <f t="shared" si="135"/>
        <v>517.02058150931066</v>
      </c>
      <c r="AC81">
        <f t="shared" si="93"/>
        <v>519.7880493042129</v>
      </c>
      <c r="AD81">
        <f t="shared" si="94"/>
        <v>325.88344850615891</v>
      </c>
      <c r="AE81">
        <f t="shared" si="95"/>
        <v>356.90818463384755</v>
      </c>
      <c r="AF81">
        <f t="shared" si="124"/>
        <v>1114.242593498052</v>
      </c>
      <c r="AG81">
        <f t="shared" si="87"/>
        <v>0.76913232809520871</v>
      </c>
    </row>
    <row r="82" spans="1:33" x14ac:dyDescent="0.25">
      <c r="A82">
        <v>81</v>
      </c>
      <c r="B82">
        <v>355</v>
      </c>
      <c r="C82">
        <v>205</v>
      </c>
      <c r="D82">
        <v>0.8</v>
      </c>
      <c r="E82">
        <v>4000</v>
      </c>
      <c r="F82">
        <v>110</v>
      </c>
      <c r="G82">
        <f t="shared" si="127"/>
        <v>150</v>
      </c>
      <c r="H82">
        <v>8</v>
      </c>
      <c r="I82">
        <f t="shared" si="88"/>
        <v>13.75</v>
      </c>
      <c r="J82">
        <f t="shared" ref="J82:J89" si="136">SQRT(12*(1-0.3^2)*I82^2*N82/(4*PI()^2*O82))</f>
        <v>0.25065920326367425</v>
      </c>
      <c r="K82">
        <f t="shared" si="128"/>
        <v>0.55000000000000004</v>
      </c>
      <c r="L82">
        <f t="shared" si="125"/>
        <v>4</v>
      </c>
      <c r="M82">
        <v>2.5</v>
      </c>
      <c r="N82">
        <f t="shared" si="129"/>
        <v>235</v>
      </c>
      <c r="O82">
        <f t="shared" ref="O82:O89" si="137">193000*D82+(1-D82)*206000</f>
        <v>195600</v>
      </c>
      <c r="P82">
        <f t="shared" ref="P82:P89" si="138">H82*I82*H82*4</f>
        <v>3520</v>
      </c>
      <c r="Q82">
        <f t="shared" ref="Q82:Q89" si="139">PI()*(M82*H82)^2-PI()*((M82-1)*H82)^2</f>
        <v>804.24771931898704</v>
      </c>
      <c r="R82">
        <f t="shared" si="130"/>
        <v>4324.247719318987</v>
      </c>
      <c r="S82">
        <f t="shared" si="89"/>
        <v>14118333.707433984</v>
      </c>
      <c r="T82">
        <f t="shared" si="131"/>
        <v>57.139500414724267</v>
      </c>
      <c r="U82">
        <f t="shared" si="132"/>
        <v>70.004112233526641</v>
      </c>
      <c r="V82">
        <f t="shared" si="133"/>
        <v>0.77236606757289528</v>
      </c>
      <c r="W82">
        <f t="shared" si="134"/>
        <v>1016.198214039962</v>
      </c>
      <c r="X82">
        <v>754.7</v>
      </c>
      <c r="Y82">
        <f t="shared" si="90"/>
        <v>0.74267007122522011</v>
      </c>
      <c r="Z82" t="str">
        <f t="shared" si="126"/>
        <v>LC-B81</v>
      </c>
      <c r="AA82">
        <f t="shared" si="91"/>
        <v>490</v>
      </c>
      <c r="AB82">
        <f t="shared" si="135"/>
        <v>517.02058150931066</v>
      </c>
      <c r="AC82">
        <f t="shared" si="93"/>
        <v>519.7880493042129</v>
      </c>
      <c r="AD82">
        <f t="shared" si="94"/>
        <v>325.88344850615891</v>
      </c>
      <c r="AE82">
        <f t="shared" si="95"/>
        <v>356.90818463384755</v>
      </c>
      <c r="AF82">
        <f t="shared" si="124"/>
        <v>1114.242593498052</v>
      </c>
      <c r="AG82">
        <f t="shared" si="87"/>
        <v>0.67732108286284021</v>
      </c>
    </row>
    <row r="83" spans="1:33" x14ac:dyDescent="0.25">
      <c r="A83">
        <v>82</v>
      </c>
      <c r="B83">
        <v>355</v>
      </c>
      <c r="C83">
        <v>205</v>
      </c>
      <c r="D83">
        <v>0.8</v>
      </c>
      <c r="E83">
        <v>5000</v>
      </c>
      <c r="F83">
        <v>110</v>
      </c>
      <c r="G83">
        <f t="shared" si="127"/>
        <v>150</v>
      </c>
      <c r="H83">
        <v>8</v>
      </c>
      <c r="I83">
        <f t="shared" si="88"/>
        <v>13.75</v>
      </c>
      <c r="J83">
        <f t="shared" si="136"/>
        <v>0.25065920326367425</v>
      </c>
      <c r="K83">
        <f t="shared" si="128"/>
        <v>0.55000000000000004</v>
      </c>
      <c r="L83">
        <f t="shared" si="125"/>
        <v>5</v>
      </c>
      <c r="M83">
        <v>2.5</v>
      </c>
      <c r="N83">
        <f t="shared" si="129"/>
        <v>235</v>
      </c>
      <c r="O83">
        <f t="shared" si="137"/>
        <v>195600</v>
      </c>
      <c r="P83">
        <f t="shared" si="138"/>
        <v>3520</v>
      </c>
      <c r="Q83">
        <f t="shared" si="139"/>
        <v>804.24771931898704</v>
      </c>
      <c r="R83">
        <f t="shared" si="130"/>
        <v>4324.247719318987</v>
      </c>
      <c r="S83">
        <f t="shared" si="89"/>
        <v>14118333.707433984</v>
      </c>
      <c r="T83">
        <f t="shared" si="131"/>
        <v>57.139500414724267</v>
      </c>
      <c r="U83">
        <f t="shared" si="132"/>
        <v>87.505140291908305</v>
      </c>
      <c r="V83">
        <f t="shared" si="133"/>
        <v>0.96545758446611907</v>
      </c>
      <c r="W83">
        <f t="shared" si="134"/>
        <v>1016.198214039962</v>
      </c>
      <c r="X83">
        <v>656.5</v>
      </c>
      <c r="Y83">
        <f t="shared" si="90"/>
        <v>0.64603538062721211</v>
      </c>
      <c r="Z83" t="str">
        <f t="shared" si="126"/>
        <v>LC-B82</v>
      </c>
      <c r="AA83">
        <f t="shared" si="91"/>
        <v>490</v>
      </c>
      <c r="AB83">
        <f t="shared" si="135"/>
        <v>517.02058150931066</v>
      </c>
      <c r="AC83">
        <f t="shared" si="93"/>
        <v>519.7880493042129</v>
      </c>
      <c r="AD83">
        <f t="shared" si="94"/>
        <v>325.88344850615891</v>
      </c>
      <c r="AE83">
        <f t="shared" si="95"/>
        <v>356.90818463384755</v>
      </c>
      <c r="AF83">
        <f t="shared" si="124"/>
        <v>1114.242593498052</v>
      </c>
      <c r="AG83">
        <f t="shared" si="87"/>
        <v>0.58918946720478937</v>
      </c>
    </row>
    <row r="84" spans="1:33" x14ac:dyDescent="0.25">
      <c r="A84">
        <v>83</v>
      </c>
      <c r="B84">
        <v>355</v>
      </c>
      <c r="C84">
        <v>205</v>
      </c>
      <c r="D84">
        <v>0.8</v>
      </c>
      <c r="E84">
        <v>6000</v>
      </c>
      <c r="F84">
        <v>110</v>
      </c>
      <c r="G84">
        <f t="shared" si="127"/>
        <v>150</v>
      </c>
      <c r="H84">
        <v>8</v>
      </c>
      <c r="I84">
        <f t="shared" si="88"/>
        <v>13.75</v>
      </c>
      <c r="J84">
        <f t="shared" si="136"/>
        <v>0.25065920326367425</v>
      </c>
      <c r="K84">
        <f t="shared" si="128"/>
        <v>0.55000000000000004</v>
      </c>
      <c r="L84">
        <f t="shared" si="125"/>
        <v>6</v>
      </c>
      <c r="M84">
        <v>2.5</v>
      </c>
      <c r="N84">
        <f t="shared" si="129"/>
        <v>235</v>
      </c>
      <c r="O84">
        <f t="shared" si="137"/>
        <v>195600</v>
      </c>
      <c r="P84">
        <f t="shared" si="138"/>
        <v>3520</v>
      </c>
      <c r="Q84">
        <f t="shared" si="139"/>
        <v>804.24771931898704</v>
      </c>
      <c r="R84">
        <f t="shared" si="130"/>
        <v>4324.247719318987</v>
      </c>
      <c r="S84">
        <f t="shared" si="89"/>
        <v>14118333.707433984</v>
      </c>
      <c r="T84">
        <f t="shared" si="131"/>
        <v>57.139500414724267</v>
      </c>
      <c r="U84">
        <f t="shared" si="132"/>
        <v>105.00616835028997</v>
      </c>
      <c r="V84">
        <f t="shared" si="133"/>
        <v>1.1585491013593432</v>
      </c>
      <c r="W84">
        <f t="shared" si="134"/>
        <v>1016.198214039962</v>
      </c>
      <c r="X84">
        <v>546.29999999999995</v>
      </c>
      <c r="Y84">
        <f t="shared" si="90"/>
        <v>0.53759197020052696</v>
      </c>
      <c r="Z84" t="str">
        <f t="shared" si="126"/>
        <v>LC-B83</v>
      </c>
      <c r="AA84">
        <f t="shared" si="91"/>
        <v>490</v>
      </c>
      <c r="AB84">
        <f t="shared" si="135"/>
        <v>517.02058150931066</v>
      </c>
      <c r="AC84">
        <f t="shared" si="93"/>
        <v>519.7880493042129</v>
      </c>
      <c r="AD84">
        <f t="shared" si="94"/>
        <v>325.88344850615891</v>
      </c>
      <c r="AE84">
        <f t="shared" si="95"/>
        <v>356.90818463384755</v>
      </c>
      <c r="AF84">
        <f t="shared" si="124"/>
        <v>1114.242593498052</v>
      </c>
      <c r="AG84">
        <f t="shared" si="87"/>
        <v>0.49028820401214995</v>
      </c>
    </row>
    <row r="85" spans="1:33" x14ac:dyDescent="0.25">
      <c r="A85">
        <v>84</v>
      </c>
      <c r="B85">
        <v>355</v>
      </c>
      <c r="C85">
        <v>205</v>
      </c>
      <c r="D85">
        <v>0.8</v>
      </c>
      <c r="E85">
        <v>7000</v>
      </c>
      <c r="F85">
        <v>110</v>
      </c>
      <c r="G85">
        <f t="shared" si="127"/>
        <v>150</v>
      </c>
      <c r="H85">
        <v>8</v>
      </c>
      <c r="I85">
        <f t="shared" si="88"/>
        <v>13.75</v>
      </c>
      <c r="J85">
        <f t="shared" si="136"/>
        <v>0.25065920326367425</v>
      </c>
      <c r="K85">
        <f t="shared" si="128"/>
        <v>0.55000000000000004</v>
      </c>
      <c r="L85">
        <f t="shared" si="125"/>
        <v>7</v>
      </c>
      <c r="M85">
        <v>2.5</v>
      </c>
      <c r="N85">
        <f t="shared" si="129"/>
        <v>235</v>
      </c>
      <c r="O85">
        <f t="shared" si="137"/>
        <v>195600</v>
      </c>
      <c r="P85">
        <f t="shared" si="138"/>
        <v>3520</v>
      </c>
      <c r="Q85">
        <f t="shared" si="139"/>
        <v>804.24771931898704</v>
      </c>
      <c r="R85">
        <f t="shared" si="130"/>
        <v>4324.247719318987</v>
      </c>
      <c r="S85">
        <f t="shared" si="89"/>
        <v>14118333.707433984</v>
      </c>
      <c r="T85">
        <f t="shared" si="131"/>
        <v>57.139500414724267</v>
      </c>
      <c r="U85">
        <f t="shared" si="132"/>
        <v>122.50719640867163</v>
      </c>
      <c r="V85">
        <f t="shared" si="133"/>
        <v>1.3516406182525667</v>
      </c>
      <c r="W85">
        <f t="shared" si="134"/>
        <v>1016.198214039962</v>
      </c>
      <c r="X85">
        <v>441.4</v>
      </c>
      <c r="Y85">
        <f t="shared" si="90"/>
        <v>0.43436407769817431</v>
      </c>
      <c r="Z85" t="str">
        <f t="shared" si="126"/>
        <v>LC-B84</v>
      </c>
      <c r="AA85">
        <f t="shared" si="91"/>
        <v>490</v>
      </c>
      <c r="AB85">
        <f t="shared" si="135"/>
        <v>517.02058150931066</v>
      </c>
      <c r="AC85">
        <f t="shared" si="93"/>
        <v>519.7880493042129</v>
      </c>
      <c r="AD85">
        <f t="shared" si="94"/>
        <v>325.88344850615891</v>
      </c>
      <c r="AE85">
        <f t="shared" si="95"/>
        <v>356.90818463384755</v>
      </c>
      <c r="AF85">
        <f t="shared" si="124"/>
        <v>1114.242593498052</v>
      </c>
      <c r="AG85">
        <f t="shared" si="87"/>
        <v>0.39614353514728717</v>
      </c>
    </row>
    <row r="86" spans="1:33" x14ac:dyDescent="0.25">
      <c r="A86">
        <v>85</v>
      </c>
      <c r="B86">
        <v>355</v>
      </c>
      <c r="C86">
        <v>205</v>
      </c>
      <c r="D86">
        <v>0.8</v>
      </c>
      <c r="E86">
        <v>8000</v>
      </c>
      <c r="F86">
        <v>110</v>
      </c>
      <c r="G86">
        <f t="shared" si="127"/>
        <v>150</v>
      </c>
      <c r="H86">
        <v>8</v>
      </c>
      <c r="I86">
        <f t="shared" si="88"/>
        <v>13.75</v>
      </c>
      <c r="J86">
        <f t="shared" si="136"/>
        <v>0.25065920326367425</v>
      </c>
      <c r="K86">
        <f t="shared" si="128"/>
        <v>0.55000000000000004</v>
      </c>
      <c r="L86">
        <f t="shared" si="125"/>
        <v>8</v>
      </c>
      <c r="M86">
        <v>2.5</v>
      </c>
      <c r="N86">
        <f t="shared" si="129"/>
        <v>235</v>
      </c>
      <c r="O86">
        <f t="shared" si="137"/>
        <v>195600</v>
      </c>
      <c r="P86">
        <f t="shared" si="138"/>
        <v>3520</v>
      </c>
      <c r="Q86">
        <f t="shared" si="139"/>
        <v>804.24771931898704</v>
      </c>
      <c r="R86">
        <f t="shared" si="130"/>
        <v>4324.247719318987</v>
      </c>
      <c r="S86">
        <f t="shared" si="89"/>
        <v>14118333.707433984</v>
      </c>
      <c r="T86">
        <f t="shared" si="131"/>
        <v>57.139500414724267</v>
      </c>
      <c r="U86">
        <f t="shared" si="132"/>
        <v>140.00822446705328</v>
      </c>
      <c r="V86">
        <f t="shared" si="133"/>
        <v>1.5447321351457906</v>
      </c>
      <c r="W86">
        <f t="shared" si="134"/>
        <v>1016.198214039962</v>
      </c>
      <c r="X86">
        <v>357.1</v>
      </c>
      <c r="Y86">
        <f t="shared" si="90"/>
        <v>0.3514078209017174</v>
      </c>
      <c r="Z86" t="str">
        <f t="shared" si="126"/>
        <v>LC-B85</v>
      </c>
      <c r="AA86">
        <f t="shared" si="91"/>
        <v>490</v>
      </c>
      <c r="AB86">
        <f>C86/(0.2+185*C86/193000)</f>
        <v>517.02058150931066</v>
      </c>
      <c r="AC86">
        <f t="shared" si="93"/>
        <v>519.7880493042129</v>
      </c>
      <c r="AD86">
        <f t="shared" si="94"/>
        <v>325.88344850615891</v>
      </c>
      <c r="AE86">
        <f t="shared" si="95"/>
        <v>356.90818463384755</v>
      </c>
      <c r="AF86">
        <f>(AE86*Q86+N86*P86)/1000</f>
        <v>1114.242593498052</v>
      </c>
      <c r="AG86">
        <f t="shared" si="87"/>
        <v>0.3204867612168017</v>
      </c>
    </row>
    <row r="87" spans="1:33" x14ac:dyDescent="0.25">
      <c r="A87">
        <v>86</v>
      </c>
      <c r="B87">
        <v>355</v>
      </c>
      <c r="C87">
        <v>205</v>
      </c>
      <c r="D87">
        <v>0.8</v>
      </c>
      <c r="E87">
        <v>9000</v>
      </c>
      <c r="F87">
        <v>110</v>
      </c>
      <c r="G87">
        <f t="shared" si="127"/>
        <v>150</v>
      </c>
      <c r="H87">
        <v>8</v>
      </c>
      <c r="I87">
        <f t="shared" si="88"/>
        <v>13.75</v>
      </c>
      <c r="J87">
        <f t="shared" si="136"/>
        <v>0.25065920326367425</v>
      </c>
      <c r="K87">
        <f t="shared" si="128"/>
        <v>0.55000000000000004</v>
      </c>
      <c r="L87">
        <f t="shared" si="125"/>
        <v>9</v>
      </c>
      <c r="M87">
        <v>2.5</v>
      </c>
      <c r="N87">
        <f t="shared" si="129"/>
        <v>235</v>
      </c>
      <c r="O87">
        <f t="shared" si="137"/>
        <v>195600</v>
      </c>
      <c r="P87">
        <f t="shared" si="138"/>
        <v>3520</v>
      </c>
      <c r="Q87">
        <f t="shared" si="139"/>
        <v>804.24771931898704</v>
      </c>
      <c r="R87">
        <f t="shared" si="130"/>
        <v>4324.247719318987</v>
      </c>
      <c r="S87">
        <f t="shared" si="89"/>
        <v>14118333.707433984</v>
      </c>
      <c r="T87">
        <f t="shared" si="131"/>
        <v>57.139500414724267</v>
      </c>
      <c r="U87">
        <f t="shared" si="132"/>
        <v>157.50925252543496</v>
      </c>
      <c r="V87">
        <f t="shared" si="133"/>
        <v>1.7378236520390145</v>
      </c>
      <c r="W87">
        <f t="shared" si="134"/>
        <v>1016.198214039962</v>
      </c>
      <c r="X87">
        <v>291.60000000000002</v>
      </c>
      <c r="Y87">
        <f t="shared" si="90"/>
        <v>0.28695189183685466</v>
      </c>
      <c r="Z87" t="str">
        <f t="shared" si="126"/>
        <v>LC-B86</v>
      </c>
      <c r="AA87">
        <f t="shared" si="91"/>
        <v>490</v>
      </c>
      <c r="AB87">
        <f>C87/(0.2+185*C87/193000)</f>
        <v>517.02058150931066</v>
      </c>
      <c r="AC87">
        <f t="shared" si="93"/>
        <v>519.7880493042129</v>
      </c>
      <c r="AD87">
        <f t="shared" si="94"/>
        <v>325.88344850615891</v>
      </c>
      <c r="AE87">
        <f t="shared" si="95"/>
        <v>356.90818463384755</v>
      </c>
      <c r="AF87">
        <f t="shared" ref="AF87:AF89" si="140">(AE87*Q87+N87*P87)/1000</f>
        <v>1114.242593498052</v>
      </c>
      <c r="AG87">
        <f t="shared" si="87"/>
        <v>0.26170243509050511</v>
      </c>
    </row>
    <row r="88" spans="1:33" x14ac:dyDescent="0.25">
      <c r="A88">
        <v>87</v>
      </c>
      <c r="B88">
        <v>355</v>
      </c>
      <c r="C88">
        <v>205</v>
      </c>
      <c r="D88">
        <v>0.8</v>
      </c>
      <c r="E88">
        <v>10000</v>
      </c>
      <c r="F88">
        <v>110</v>
      </c>
      <c r="G88">
        <f t="shared" si="127"/>
        <v>150</v>
      </c>
      <c r="H88">
        <v>8</v>
      </c>
      <c r="I88">
        <f t="shared" si="88"/>
        <v>13.75</v>
      </c>
      <c r="J88">
        <f t="shared" si="136"/>
        <v>0.25065920326367425</v>
      </c>
      <c r="K88">
        <f t="shared" si="128"/>
        <v>0.55000000000000004</v>
      </c>
      <c r="L88">
        <f t="shared" si="125"/>
        <v>10</v>
      </c>
      <c r="M88">
        <v>2.5</v>
      </c>
      <c r="N88">
        <f t="shared" si="129"/>
        <v>235</v>
      </c>
      <c r="O88">
        <f t="shared" si="137"/>
        <v>195600</v>
      </c>
      <c r="P88">
        <f t="shared" si="138"/>
        <v>3520</v>
      </c>
      <c r="Q88">
        <f t="shared" si="139"/>
        <v>804.24771931898704</v>
      </c>
      <c r="R88">
        <f t="shared" si="130"/>
        <v>4324.247719318987</v>
      </c>
      <c r="S88">
        <f t="shared" si="89"/>
        <v>14118333.707433984</v>
      </c>
      <c r="T88">
        <f t="shared" si="131"/>
        <v>57.139500414724267</v>
      </c>
      <c r="U88">
        <f t="shared" si="132"/>
        <v>175.01028058381661</v>
      </c>
      <c r="V88">
        <f t="shared" si="133"/>
        <v>1.9309151689322381</v>
      </c>
      <c r="W88">
        <f t="shared" si="134"/>
        <v>1016.198214039962</v>
      </c>
      <c r="X88">
        <v>241.2</v>
      </c>
      <c r="Y88">
        <f t="shared" si="90"/>
        <v>0.23735526855641059</v>
      </c>
      <c r="Z88" t="str">
        <f t="shared" si="126"/>
        <v>LC-B87</v>
      </c>
      <c r="AA88">
        <f t="shared" si="91"/>
        <v>490</v>
      </c>
      <c r="AB88">
        <f>C88/(0.2+185*C88/193000)</f>
        <v>517.02058150931066</v>
      </c>
      <c r="AC88">
        <f t="shared" si="93"/>
        <v>519.7880493042129</v>
      </c>
      <c r="AD88">
        <f t="shared" si="94"/>
        <v>325.88344850615891</v>
      </c>
      <c r="AE88">
        <f t="shared" si="95"/>
        <v>356.90818463384755</v>
      </c>
      <c r="AF88">
        <f t="shared" si="140"/>
        <v>1114.242593498052</v>
      </c>
      <c r="AG88">
        <f t="shared" si="87"/>
        <v>0.21646991544523259</v>
      </c>
    </row>
    <row r="89" spans="1:33" x14ac:dyDescent="0.25">
      <c r="A89">
        <v>88</v>
      </c>
      <c r="B89">
        <v>355</v>
      </c>
      <c r="C89">
        <v>205</v>
      </c>
      <c r="D89">
        <v>0.8</v>
      </c>
      <c r="E89">
        <v>12000</v>
      </c>
      <c r="F89">
        <v>110</v>
      </c>
      <c r="G89">
        <f t="shared" si="127"/>
        <v>150</v>
      </c>
      <c r="H89">
        <v>8</v>
      </c>
      <c r="I89">
        <f t="shared" si="88"/>
        <v>13.75</v>
      </c>
      <c r="J89">
        <f t="shared" si="136"/>
        <v>0.25065920326367425</v>
      </c>
      <c r="K89">
        <f t="shared" si="128"/>
        <v>0.55000000000000004</v>
      </c>
      <c r="L89">
        <f t="shared" si="125"/>
        <v>12</v>
      </c>
      <c r="M89">
        <v>2.5</v>
      </c>
      <c r="N89">
        <f t="shared" si="129"/>
        <v>235</v>
      </c>
      <c r="O89">
        <f t="shared" si="137"/>
        <v>195600</v>
      </c>
      <c r="P89">
        <f t="shared" si="138"/>
        <v>3520</v>
      </c>
      <c r="Q89">
        <f t="shared" si="139"/>
        <v>804.24771931898704</v>
      </c>
      <c r="R89">
        <f t="shared" si="130"/>
        <v>4324.247719318987</v>
      </c>
      <c r="S89">
        <f t="shared" si="89"/>
        <v>14118333.707433984</v>
      </c>
      <c r="T89">
        <f t="shared" si="131"/>
        <v>57.139500414724267</v>
      </c>
      <c r="U89">
        <f t="shared" si="132"/>
        <v>210.01233670057994</v>
      </c>
      <c r="V89">
        <f t="shared" si="133"/>
        <v>2.3170982027186864</v>
      </c>
      <c r="W89">
        <f t="shared" si="134"/>
        <v>1016.198214039962</v>
      </c>
      <c r="X89">
        <v>172.1</v>
      </c>
      <c r="Y89">
        <f t="shared" si="90"/>
        <v>0.1693567235429447</v>
      </c>
      <c r="Z89" t="str">
        <f t="shared" si="126"/>
        <v>LC-B88</v>
      </c>
      <c r="AA89">
        <f t="shared" si="91"/>
        <v>490</v>
      </c>
      <c r="AB89">
        <f t="shared" ref="AB89" si="141">C89/(0.2+185*C89/193000)</f>
        <v>517.02058150931066</v>
      </c>
      <c r="AC89">
        <f t="shared" si="93"/>
        <v>519.7880493042129</v>
      </c>
      <c r="AD89">
        <f t="shared" si="94"/>
        <v>325.88344850615891</v>
      </c>
      <c r="AE89">
        <f t="shared" si="95"/>
        <v>356.90818463384755</v>
      </c>
      <c r="AF89">
        <f t="shared" si="140"/>
        <v>1114.242593498052</v>
      </c>
      <c r="AG89">
        <f t="shared" si="87"/>
        <v>0.15445469505855941</v>
      </c>
    </row>
    <row r="90" spans="1:33" x14ac:dyDescent="0.25">
      <c r="A90">
        <v>89</v>
      </c>
      <c r="B90">
        <v>355</v>
      </c>
      <c r="C90">
        <v>205</v>
      </c>
      <c r="D90">
        <v>0.9</v>
      </c>
      <c r="E90">
        <v>1000</v>
      </c>
      <c r="F90">
        <v>110</v>
      </c>
      <c r="G90">
        <f>F90+2*H90*M90</f>
        <v>150</v>
      </c>
      <c r="H90">
        <v>8</v>
      </c>
      <c r="I90">
        <f t="shared" si="88"/>
        <v>13.75</v>
      </c>
      <c r="J90">
        <f>SQRT(12*(1-0.3^2)*I90^2*N90/(4*PI()^2*O90))</f>
        <v>0.24333752645608511</v>
      </c>
      <c r="K90">
        <f>H90*I90/200</f>
        <v>0.55000000000000004</v>
      </c>
      <c r="L90">
        <f t="shared" si="125"/>
        <v>1</v>
      </c>
      <c r="M90">
        <v>2.5</v>
      </c>
      <c r="N90">
        <f>D90*C90+(1-D90)*B90</f>
        <v>220</v>
      </c>
      <c r="O90">
        <f>193000*D90+(1-D90)*206000</f>
        <v>194300</v>
      </c>
      <c r="P90">
        <f>H90*I90*H90*4</f>
        <v>3520</v>
      </c>
      <c r="Q90">
        <f>PI()*(M90*H90)^2-PI()*((M90-1)*H90)^2</f>
        <v>804.24771931898704</v>
      </c>
      <c r="R90">
        <f>P90+Q90</f>
        <v>4324.247719318987</v>
      </c>
      <c r="S90">
        <f t="shared" si="89"/>
        <v>14118333.707433984</v>
      </c>
      <c r="T90">
        <f>SQRT(S90/R90)</f>
        <v>57.139500414724267</v>
      </c>
      <c r="U90">
        <f>E90/T90</f>
        <v>17.50102805838166</v>
      </c>
      <c r="V90">
        <f>U90/PI()*SQRT(N90/O90)</f>
        <v>0.18745137417126614</v>
      </c>
      <c r="W90">
        <f>R90*N90/1000</f>
        <v>951.33449825017715</v>
      </c>
      <c r="X90">
        <v>1068.0999999999999</v>
      </c>
      <c r="Y90">
        <f t="shared" si="90"/>
        <v>1.1227386392111225</v>
      </c>
      <c r="Z90" t="str">
        <f t="shared" si="126"/>
        <v>LC-B89</v>
      </c>
      <c r="AA90">
        <f t="shared" ref="AA90:AA100" si="142">IF(B90=235,360,IF(B90=355,490,560))</f>
        <v>490</v>
      </c>
      <c r="AB90">
        <f t="shared" ref="AB90:AB100" si="143">C90/(0.2+185*C90/193000)</f>
        <v>517.02058150931066</v>
      </c>
      <c r="AC90">
        <f t="shared" ref="AC90:AC100" si="144">B90*(2.769*(AA90/B90)-0.581*(AA90/B90)^2-1.182)/((M90-1)^(0.314*(AA90/B90)-0.32))</f>
        <v>519.7880493042129</v>
      </c>
      <c r="AD90">
        <f t="shared" ref="AD90:AD100" si="145">1.673*C90/(M90-1)^0.126</f>
        <v>325.88344850615891</v>
      </c>
      <c r="AE90">
        <f t="shared" ref="AE90:AE100" si="146">AC90*(1-((2*M90*H90-D90*H90)/(2*M90*H90-H90)*D90))+AD90*((2*M90*H90-D90*H90)/(2*M90*H90-H90)*D90)</f>
        <v>340.91105506800812</v>
      </c>
      <c r="AF90">
        <f t="shared" ref="AF90:AF100" si="147">(AE90*Q90+N90*P90)/1000</f>
        <v>1048.5769385290751</v>
      </c>
      <c r="AG90">
        <f t="shared" ref="AG90:AG100" si="148">X90/AF90</f>
        <v>1.0186186256378207</v>
      </c>
    </row>
    <row r="91" spans="1:33" x14ac:dyDescent="0.25">
      <c r="A91">
        <v>90</v>
      </c>
      <c r="B91">
        <v>355</v>
      </c>
      <c r="C91">
        <v>205</v>
      </c>
      <c r="D91">
        <v>0.9</v>
      </c>
      <c r="E91">
        <v>2000</v>
      </c>
      <c r="F91">
        <v>110</v>
      </c>
      <c r="G91">
        <f t="shared" ref="G91:G100" si="149">F91+2*H91*M91</f>
        <v>150</v>
      </c>
      <c r="H91">
        <v>8</v>
      </c>
      <c r="I91">
        <f t="shared" si="88"/>
        <v>13.75</v>
      </c>
      <c r="J91">
        <f>SQRT(12*(1-0.3^2)*I91^2*N91/(4*PI()^2*O91))</f>
        <v>0.24333752645608511</v>
      </c>
      <c r="K91">
        <f t="shared" ref="K91:K100" si="150">H91*I91/200</f>
        <v>0.55000000000000004</v>
      </c>
      <c r="L91">
        <f t="shared" si="125"/>
        <v>2</v>
      </c>
      <c r="M91">
        <v>2.5</v>
      </c>
      <c r="N91">
        <f t="shared" ref="N91:N100" si="151">D91*C91+(1-D91)*B91</f>
        <v>220</v>
      </c>
      <c r="O91">
        <f>193000*D91+(1-D91)*206000</f>
        <v>194300</v>
      </c>
      <c r="P91">
        <f>H91*I91*H91*4</f>
        <v>3520</v>
      </c>
      <c r="Q91">
        <f>PI()*(M91*H91)^2-PI()*((M91-1)*H91)^2</f>
        <v>804.24771931898704</v>
      </c>
      <c r="R91">
        <f t="shared" ref="R91:R100" si="152">P91+Q91</f>
        <v>4324.247719318987</v>
      </c>
      <c r="S91">
        <f t="shared" si="89"/>
        <v>14118333.707433984</v>
      </c>
      <c r="T91">
        <f t="shared" ref="T91:T100" si="153">SQRT(S91/R91)</f>
        <v>57.139500414724267</v>
      </c>
      <c r="U91">
        <f t="shared" ref="U91:U100" si="154">E91/T91</f>
        <v>35.00205611676332</v>
      </c>
      <c r="V91">
        <f t="shared" ref="V91:V100" si="155">U91/PI()*SQRT(N91/O91)</f>
        <v>0.37490274834253229</v>
      </c>
      <c r="W91">
        <f t="shared" ref="W91:W100" si="156">R91*N91/1000</f>
        <v>951.33449825017715</v>
      </c>
      <c r="X91">
        <v>940.6</v>
      </c>
      <c r="Y91">
        <f t="shared" si="90"/>
        <v>0.98871637865553974</v>
      </c>
      <c r="Z91" t="str">
        <f t="shared" si="126"/>
        <v>LC-B90</v>
      </c>
      <c r="AA91">
        <f t="shared" si="142"/>
        <v>490</v>
      </c>
      <c r="AB91">
        <f t="shared" si="143"/>
        <v>517.02058150931066</v>
      </c>
      <c r="AC91">
        <f t="shared" si="144"/>
        <v>519.7880493042129</v>
      </c>
      <c r="AD91">
        <f t="shared" si="145"/>
        <v>325.88344850615891</v>
      </c>
      <c r="AE91">
        <f t="shared" si="146"/>
        <v>340.91105506800812</v>
      </c>
      <c r="AF91">
        <f t="shared" si="147"/>
        <v>1048.5769385290751</v>
      </c>
      <c r="AG91">
        <f t="shared" si="148"/>
        <v>0.89702525912829711</v>
      </c>
    </row>
    <row r="92" spans="1:33" x14ac:dyDescent="0.25">
      <c r="A92">
        <v>91</v>
      </c>
      <c r="B92">
        <v>355</v>
      </c>
      <c r="C92">
        <v>205</v>
      </c>
      <c r="D92">
        <v>0.9</v>
      </c>
      <c r="E92">
        <v>3000</v>
      </c>
      <c r="F92">
        <v>110</v>
      </c>
      <c r="G92">
        <f t="shared" si="149"/>
        <v>150</v>
      </c>
      <c r="H92">
        <v>8</v>
      </c>
      <c r="I92">
        <f t="shared" si="88"/>
        <v>13.75</v>
      </c>
      <c r="J92">
        <f>SQRT(12*(1-0.3^2)*I92^2*N92/(4*PI()^2*O92))</f>
        <v>0.24333752645608511</v>
      </c>
      <c r="K92">
        <f t="shared" si="150"/>
        <v>0.55000000000000004</v>
      </c>
      <c r="L92">
        <f t="shared" si="125"/>
        <v>3</v>
      </c>
      <c r="M92">
        <v>2.5</v>
      </c>
      <c r="N92">
        <f t="shared" si="151"/>
        <v>220</v>
      </c>
      <c r="O92">
        <f>193000*D92+(1-D92)*206000</f>
        <v>194300</v>
      </c>
      <c r="P92">
        <f>H92*I92*H92*4</f>
        <v>3520</v>
      </c>
      <c r="Q92">
        <f>PI()*(M92*H92)^2-PI()*((M92-1)*H92)^2</f>
        <v>804.24771931898704</v>
      </c>
      <c r="R92">
        <f t="shared" si="152"/>
        <v>4324.247719318987</v>
      </c>
      <c r="S92">
        <f t="shared" si="89"/>
        <v>14118333.707433984</v>
      </c>
      <c r="T92">
        <f t="shared" si="153"/>
        <v>57.139500414724267</v>
      </c>
      <c r="U92">
        <f t="shared" si="154"/>
        <v>52.503084175144984</v>
      </c>
      <c r="V92">
        <f t="shared" si="155"/>
        <v>0.56235412251379846</v>
      </c>
      <c r="W92">
        <f t="shared" si="156"/>
        <v>951.33449825017715</v>
      </c>
      <c r="X92">
        <v>813.7</v>
      </c>
      <c r="Y92">
        <f t="shared" si="90"/>
        <v>0.8553248110908066</v>
      </c>
      <c r="Z92" t="str">
        <f t="shared" si="126"/>
        <v>LC-B91</v>
      </c>
      <c r="AA92">
        <f t="shared" si="142"/>
        <v>490</v>
      </c>
      <c r="AB92">
        <f t="shared" si="143"/>
        <v>517.02058150931066</v>
      </c>
      <c r="AC92">
        <f t="shared" si="144"/>
        <v>519.7880493042129</v>
      </c>
      <c r="AD92">
        <f t="shared" si="145"/>
        <v>325.88344850615891</v>
      </c>
      <c r="AE92">
        <f t="shared" si="146"/>
        <v>340.91105506800812</v>
      </c>
      <c r="AF92">
        <f t="shared" si="147"/>
        <v>1048.5769385290751</v>
      </c>
      <c r="AG92">
        <f t="shared" si="148"/>
        <v>0.77600409669646542</v>
      </c>
    </row>
    <row r="93" spans="1:33" x14ac:dyDescent="0.25">
      <c r="A93">
        <v>92</v>
      </c>
      <c r="B93">
        <v>355</v>
      </c>
      <c r="C93">
        <v>205</v>
      </c>
      <c r="D93">
        <v>0.9</v>
      </c>
      <c r="E93">
        <v>4000</v>
      </c>
      <c r="F93">
        <v>110</v>
      </c>
      <c r="G93">
        <f t="shared" si="149"/>
        <v>150</v>
      </c>
      <c r="H93">
        <v>8</v>
      </c>
      <c r="I93">
        <f t="shared" si="88"/>
        <v>13.75</v>
      </c>
      <c r="J93">
        <f t="shared" ref="J93:J100" si="157">SQRT(12*(1-0.3^2)*I93^2*N93/(4*PI()^2*O93))</f>
        <v>0.24333752645608511</v>
      </c>
      <c r="K93">
        <f t="shared" si="150"/>
        <v>0.55000000000000004</v>
      </c>
      <c r="L93">
        <f t="shared" si="125"/>
        <v>4</v>
      </c>
      <c r="M93">
        <v>2.5</v>
      </c>
      <c r="N93">
        <f t="shared" si="151"/>
        <v>220</v>
      </c>
      <c r="O93">
        <f t="shared" ref="O93:O100" si="158">193000*D93+(1-D93)*206000</f>
        <v>194300</v>
      </c>
      <c r="P93">
        <f t="shared" ref="P93:P100" si="159">H93*I93*H93*4</f>
        <v>3520</v>
      </c>
      <c r="Q93">
        <f t="shared" ref="Q93:Q100" si="160">PI()*(M93*H93)^2-PI()*((M93-1)*H93)^2</f>
        <v>804.24771931898704</v>
      </c>
      <c r="R93">
        <f t="shared" si="152"/>
        <v>4324.247719318987</v>
      </c>
      <c r="S93">
        <f t="shared" si="89"/>
        <v>14118333.707433984</v>
      </c>
      <c r="T93">
        <f t="shared" si="153"/>
        <v>57.139500414724267</v>
      </c>
      <c r="U93">
        <f t="shared" si="154"/>
        <v>70.004112233526641</v>
      </c>
      <c r="V93">
        <f t="shared" si="155"/>
        <v>0.74980549668506458</v>
      </c>
      <c r="W93">
        <f t="shared" si="156"/>
        <v>951.33449825017715</v>
      </c>
      <c r="X93">
        <v>711</v>
      </c>
      <c r="Y93">
        <f t="shared" si="90"/>
        <v>0.74737119415701547</v>
      </c>
      <c r="Z93" t="str">
        <f t="shared" si="126"/>
        <v>LC-B92</v>
      </c>
      <c r="AA93">
        <f t="shared" si="142"/>
        <v>490</v>
      </c>
      <c r="AB93">
        <f t="shared" si="143"/>
        <v>517.02058150931066</v>
      </c>
      <c r="AC93">
        <f t="shared" si="144"/>
        <v>519.7880493042129</v>
      </c>
      <c r="AD93">
        <f t="shared" si="145"/>
        <v>325.88344850615891</v>
      </c>
      <c r="AE93">
        <f t="shared" si="146"/>
        <v>340.91105506800812</v>
      </c>
      <c r="AF93">
        <f t="shared" si="147"/>
        <v>1048.5769385290751</v>
      </c>
      <c r="AG93">
        <f t="shared" si="148"/>
        <v>0.67806183206487269</v>
      </c>
    </row>
    <row r="94" spans="1:33" x14ac:dyDescent="0.25">
      <c r="A94">
        <v>93</v>
      </c>
      <c r="B94">
        <v>355</v>
      </c>
      <c r="C94">
        <v>205</v>
      </c>
      <c r="D94">
        <v>0.9</v>
      </c>
      <c r="E94">
        <v>5000</v>
      </c>
      <c r="F94">
        <v>110</v>
      </c>
      <c r="G94">
        <f t="shared" si="149"/>
        <v>150</v>
      </c>
      <c r="H94">
        <v>8</v>
      </c>
      <c r="I94">
        <f t="shared" si="88"/>
        <v>13.75</v>
      </c>
      <c r="J94">
        <f t="shared" si="157"/>
        <v>0.24333752645608511</v>
      </c>
      <c r="K94">
        <f t="shared" si="150"/>
        <v>0.55000000000000004</v>
      </c>
      <c r="L94">
        <f t="shared" si="125"/>
        <v>5</v>
      </c>
      <c r="M94">
        <v>2.5</v>
      </c>
      <c r="N94">
        <f t="shared" si="151"/>
        <v>220</v>
      </c>
      <c r="O94">
        <f t="shared" si="158"/>
        <v>194300</v>
      </c>
      <c r="P94">
        <f t="shared" si="159"/>
        <v>3520</v>
      </c>
      <c r="Q94">
        <f t="shared" si="160"/>
        <v>804.24771931898704</v>
      </c>
      <c r="R94">
        <f t="shared" si="152"/>
        <v>4324.247719318987</v>
      </c>
      <c r="S94">
        <f t="shared" si="89"/>
        <v>14118333.707433984</v>
      </c>
      <c r="T94">
        <f t="shared" si="153"/>
        <v>57.139500414724267</v>
      </c>
      <c r="U94">
        <f t="shared" si="154"/>
        <v>87.505140291908305</v>
      </c>
      <c r="V94">
        <f t="shared" si="155"/>
        <v>0.93725687085633069</v>
      </c>
      <c r="W94">
        <f t="shared" si="156"/>
        <v>951.33449825017715</v>
      </c>
      <c r="X94">
        <v>626.1</v>
      </c>
      <c r="Y94">
        <f t="shared" si="90"/>
        <v>0.65812813595176844</v>
      </c>
      <c r="Z94" t="str">
        <f t="shared" si="126"/>
        <v>LC-B93</v>
      </c>
      <c r="AA94">
        <f t="shared" si="142"/>
        <v>490</v>
      </c>
      <c r="AB94">
        <f t="shared" si="143"/>
        <v>517.02058150931066</v>
      </c>
      <c r="AC94">
        <f t="shared" si="144"/>
        <v>519.7880493042129</v>
      </c>
      <c r="AD94">
        <f t="shared" si="145"/>
        <v>325.88344850615891</v>
      </c>
      <c r="AE94">
        <f t="shared" si="146"/>
        <v>340.91105506800812</v>
      </c>
      <c r="AF94">
        <f t="shared" si="147"/>
        <v>1048.5769385290751</v>
      </c>
      <c r="AG94">
        <f t="shared" si="148"/>
        <v>0.59709495507147226</v>
      </c>
    </row>
    <row r="95" spans="1:33" x14ac:dyDescent="0.25">
      <c r="A95">
        <v>94</v>
      </c>
      <c r="B95">
        <v>355</v>
      </c>
      <c r="C95">
        <v>205</v>
      </c>
      <c r="D95">
        <v>0.9</v>
      </c>
      <c r="E95">
        <v>6000</v>
      </c>
      <c r="F95">
        <v>110</v>
      </c>
      <c r="G95">
        <f t="shared" si="149"/>
        <v>150</v>
      </c>
      <c r="H95">
        <v>8</v>
      </c>
      <c r="I95">
        <f t="shared" si="88"/>
        <v>13.75</v>
      </c>
      <c r="J95">
        <f t="shared" si="157"/>
        <v>0.24333752645608511</v>
      </c>
      <c r="K95">
        <f t="shared" si="150"/>
        <v>0.55000000000000004</v>
      </c>
      <c r="L95">
        <f t="shared" si="125"/>
        <v>6</v>
      </c>
      <c r="M95">
        <v>2.5</v>
      </c>
      <c r="N95">
        <f t="shared" si="151"/>
        <v>220</v>
      </c>
      <c r="O95">
        <f t="shared" si="158"/>
        <v>194300</v>
      </c>
      <c r="P95">
        <f t="shared" si="159"/>
        <v>3520</v>
      </c>
      <c r="Q95">
        <f t="shared" si="160"/>
        <v>804.24771931898704</v>
      </c>
      <c r="R95">
        <f t="shared" si="152"/>
        <v>4324.247719318987</v>
      </c>
      <c r="S95">
        <f t="shared" si="89"/>
        <v>14118333.707433984</v>
      </c>
      <c r="T95">
        <f t="shared" si="153"/>
        <v>57.139500414724267</v>
      </c>
      <c r="U95">
        <f t="shared" si="154"/>
        <v>105.00616835028997</v>
      </c>
      <c r="V95">
        <f t="shared" si="155"/>
        <v>1.1247082450275969</v>
      </c>
      <c r="W95">
        <f t="shared" si="156"/>
        <v>951.33449825017715</v>
      </c>
      <c r="X95">
        <v>524.6</v>
      </c>
      <c r="Y95">
        <f t="shared" si="90"/>
        <v>0.55143590499967698</v>
      </c>
      <c r="Z95" t="str">
        <f t="shared" si="126"/>
        <v>LC-B94</v>
      </c>
      <c r="AA95">
        <f t="shared" si="142"/>
        <v>490</v>
      </c>
      <c r="AB95">
        <f t="shared" si="143"/>
        <v>517.02058150931066</v>
      </c>
      <c r="AC95">
        <f t="shared" si="144"/>
        <v>519.7880493042129</v>
      </c>
      <c r="AD95">
        <f t="shared" si="145"/>
        <v>325.88344850615891</v>
      </c>
      <c r="AE95">
        <f t="shared" si="146"/>
        <v>340.91105506800812</v>
      </c>
      <c r="AF95">
        <f t="shared" si="147"/>
        <v>1048.5769385290751</v>
      </c>
      <c r="AG95">
        <f t="shared" si="148"/>
        <v>0.50029709859526328</v>
      </c>
    </row>
    <row r="96" spans="1:33" x14ac:dyDescent="0.25">
      <c r="A96">
        <v>95</v>
      </c>
      <c r="B96">
        <v>355</v>
      </c>
      <c r="C96">
        <v>205</v>
      </c>
      <c r="D96">
        <v>0.9</v>
      </c>
      <c r="E96">
        <v>7000</v>
      </c>
      <c r="F96">
        <v>110</v>
      </c>
      <c r="G96">
        <f t="shared" si="149"/>
        <v>150</v>
      </c>
      <c r="H96">
        <v>8</v>
      </c>
      <c r="I96">
        <f t="shared" si="88"/>
        <v>13.75</v>
      </c>
      <c r="J96">
        <f t="shared" si="157"/>
        <v>0.24333752645608511</v>
      </c>
      <c r="K96">
        <f t="shared" si="150"/>
        <v>0.55000000000000004</v>
      </c>
      <c r="L96">
        <f t="shared" si="125"/>
        <v>7</v>
      </c>
      <c r="M96">
        <v>2.5</v>
      </c>
      <c r="N96">
        <f t="shared" si="151"/>
        <v>220</v>
      </c>
      <c r="O96">
        <f t="shared" si="158"/>
        <v>194300</v>
      </c>
      <c r="P96">
        <f t="shared" si="159"/>
        <v>3520</v>
      </c>
      <c r="Q96">
        <f t="shared" si="160"/>
        <v>804.24771931898704</v>
      </c>
      <c r="R96">
        <f t="shared" si="152"/>
        <v>4324.247719318987</v>
      </c>
      <c r="S96">
        <f t="shared" si="89"/>
        <v>14118333.707433984</v>
      </c>
      <c r="T96">
        <f t="shared" si="153"/>
        <v>57.139500414724267</v>
      </c>
      <c r="U96">
        <f t="shared" si="154"/>
        <v>122.50719640867163</v>
      </c>
      <c r="V96">
        <f t="shared" si="155"/>
        <v>1.3121596191988629</v>
      </c>
      <c r="W96">
        <f t="shared" si="156"/>
        <v>951.33449825017715</v>
      </c>
      <c r="X96">
        <v>429.9</v>
      </c>
      <c r="Y96">
        <f t="shared" si="90"/>
        <v>0.45189152794388315</v>
      </c>
      <c r="Z96" t="str">
        <f t="shared" si="126"/>
        <v>LC-B95</v>
      </c>
      <c r="AA96">
        <f t="shared" si="142"/>
        <v>490</v>
      </c>
      <c r="AB96">
        <f t="shared" si="143"/>
        <v>517.02058150931066</v>
      </c>
      <c r="AC96">
        <f t="shared" si="144"/>
        <v>519.7880493042129</v>
      </c>
      <c r="AD96">
        <f t="shared" si="145"/>
        <v>325.88344850615891</v>
      </c>
      <c r="AE96">
        <f t="shared" si="146"/>
        <v>340.91105506800812</v>
      </c>
      <c r="AF96">
        <f t="shared" si="147"/>
        <v>1048.5769385290751</v>
      </c>
      <c r="AG96">
        <f t="shared" si="148"/>
        <v>0.40998422166622889</v>
      </c>
    </row>
    <row r="97" spans="1:33" x14ac:dyDescent="0.25">
      <c r="A97">
        <v>96</v>
      </c>
      <c r="B97">
        <v>355</v>
      </c>
      <c r="C97">
        <v>205</v>
      </c>
      <c r="D97">
        <v>0.9</v>
      </c>
      <c r="E97">
        <v>8000</v>
      </c>
      <c r="F97">
        <v>110</v>
      </c>
      <c r="G97">
        <f t="shared" si="149"/>
        <v>150</v>
      </c>
      <c r="H97">
        <v>8</v>
      </c>
      <c r="I97">
        <f t="shared" si="88"/>
        <v>13.75</v>
      </c>
      <c r="J97">
        <f t="shared" si="157"/>
        <v>0.24333752645608511</v>
      </c>
      <c r="K97">
        <f t="shared" si="150"/>
        <v>0.55000000000000004</v>
      </c>
      <c r="L97">
        <f t="shared" si="125"/>
        <v>8</v>
      </c>
      <c r="M97">
        <v>2.5</v>
      </c>
      <c r="N97">
        <f t="shared" si="151"/>
        <v>220</v>
      </c>
      <c r="O97">
        <f t="shared" si="158"/>
        <v>194300</v>
      </c>
      <c r="P97">
        <f t="shared" si="159"/>
        <v>3520</v>
      </c>
      <c r="Q97">
        <f t="shared" si="160"/>
        <v>804.24771931898704</v>
      </c>
      <c r="R97">
        <f t="shared" si="152"/>
        <v>4324.247719318987</v>
      </c>
      <c r="S97">
        <f t="shared" si="89"/>
        <v>14118333.707433984</v>
      </c>
      <c r="T97">
        <f t="shared" si="153"/>
        <v>57.139500414724267</v>
      </c>
      <c r="U97">
        <f t="shared" si="154"/>
        <v>140.00822446705328</v>
      </c>
      <c r="V97">
        <f t="shared" si="155"/>
        <v>1.4996109933701292</v>
      </c>
      <c r="W97">
        <f t="shared" si="156"/>
        <v>951.33449825017715</v>
      </c>
      <c r="X97">
        <v>349.5</v>
      </c>
      <c r="Y97">
        <f t="shared" si="90"/>
        <v>0.36737866717000972</v>
      </c>
      <c r="Z97" t="str">
        <f t="shared" si="126"/>
        <v>LC-B96</v>
      </c>
      <c r="AA97">
        <f t="shared" si="142"/>
        <v>490</v>
      </c>
      <c r="AB97">
        <f t="shared" si="143"/>
        <v>517.02058150931066</v>
      </c>
      <c r="AC97">
        <f t="shared" si="144"/>
        <v>519.7880493042129</v>
      </c>
      <c r="AD97">
        <f t="shared" si="145"/>
        <v>325.88344850615891</v>
      </c>
      <c r="AE97">
        <f t="shared" si="146"/>
        <v>340.91105506800812</v>
      </c>
      <c r="AF97">
        <f t="shared" si="147"/>
        <v>1048.5769385290751</v>
      </c>
      <c r="AG97">
        <f t="shared" si="148"/>
        <v>0.33330887525551756</v>
      </c>
    </row>
    <row r="98" spans="1:33" x14ac:dyDescent="0.25">
      <c r="A98">
        <v>97</v>
      </c>
      <c r="B98">
        <v>355</v>
      </c>
      <c r="C98">
        <v>205</v>
      </c>
      <c r="D98">
        <v>0.9</v>
      </c>
      <c r="E98">
        <v>9000</v>
      </c>
      <c r="F98">
        <v>110</v>
      </c>
      <c r="G98">
        <f t="shared" si="149"/>
        <v>150</v>
      </c>
      <c r="H98">
        <v>8</v>
      </c>
      <c r="I98">
        <f t="shared" si="88"/>
        <v>13.75</v>
      </c>
      <c r="J98">
        <f t="shared" si="157"/>
        <v>0.24333752645608511</v>
      </c>
      <c r="K98">
        <f t="shared" si="150"/>
        <v>0.55000000000000004</v>
      </c>
      <c r="L98">
        <f t="shared" si="125"/>
        <v>9</v>
      </c>
      <c r="M98">
        <v>2.5</v>
      </c>
      <c r="N98">
        <f t="shared" si="151"/>
        <v>220</v>
      </c>
      <c r="O98">
        <f t="shared" si="158"/>
        <v>194300</v>
      </c>
      <c r="P98">
        <f t="shared" si="159"/>
        <v>3520</v>
      </c>
      <c r="Q98">
        <f t="shared" si="160"/>
        <v>804.24771931898704</v>
      </c>
      <c r="R98">
        <f t="shared" si="152"/>
        <v>4324.247719318987</v>
      </c>
      <c r="S98">
        <f t="shared" si="89"/>
        <v>14118333.707433984</v>
      </c>
      <c r="T98">
        <f t="shared" si="153"/>
        <v>57.139500414724267</v>
      </c>
      <c r="U98">
        <f t="shared" si="154"/>
        <v>157.50925252543496</v>
      </c>
      <c r="V98">
        <f t="shared" si="155"/>
        <v>1.6870623675413954</v>
      </c>
      <c r="W98">
        <f t="shared" si="156"/>
        <v>951.33449825017715</v>
      </c>
      <c r="X98">
        <v>286.2</v>
      </c>
      <c r="Y98">
        <f t="shared" si="90"/>
        <v>0.30084055663535558</v>
      </c>
      <c r="Z98" t="str">
        <f t="shared" si="126"/>
        <v>LC-B97</v>
      </c>
      <c r="AA98">
        <f t="shared" si="142"/>
        <v>490</v>
      </c>
      <c r="AB98">
        <f t="shared" si="143"/>
        <v>517.02058150931066</v>
      </c>
      <c r="AC98">
        <f t="shared" si="144"/>
        <v>519.7880493042129</v>
      </c>
      <c r="AD98">
        <f t="shared" si="145"/>
        <v>325.88344850615891</v>
      </c>
      <c r="AE98">
        <f t="shared" si="146"/>
        <v>340.91105506800812</v>
      </c>
      <c r="AF98">
        <f t="shared" si="147"/>
        <v>1048.5769385290751</v>
      </c>
      <c r="AG98">
        <f t="shared" si="148"/>
        <v>0.27294134505902468</v>
      </c>
    </row>
    <row r="99" spans="1:33" x14ac:dyDescent="0.25">
      <c r="A99">
        <v>98</v>
      </c>
      <c r="B99">
        <v>355</v>
      </c>
      <c r="C99">
        <v>205</v>
      </c>
      <c r="D99">
        <v>0.9</v>
      </c>
      <c r="E99">
        <v>10000</v>
      </c>
      <c r="F99">
        <v>110</v>
      </c>
      <c r="G99">
        <f t="shared" si="149"/>
        <v>150</v>
      </c>
      <c r="H99">
        <v>8</v>
      </c>
      <c r="I99">
        <f t="shared" si="88"/>
        <v>13.75</v>
      </c>
      <c r="J99">
        <f t="shared" si="157"/>
        <v>0.24333752645608511</v>
      </c>
      <c r="K99">
        <f t="shared" si="150"/>
        <v>0.55000000000000004</v>
      </c>
      <c r="L99">
        <f t="shared" si="125"/>
        <v>10</v>
      </c>
      <c r="M99">
        <v>2.5</v>
      </c>
      <c r="N99">
        <f t="shared" si="151"/>
        <v>220</v>
      </c>
      <c r="O99">
        <f t="shared" si="158"/>
        <v>194300</v>
      </c>
      <c r="P99">
        <f t="shared" si="159"/>
        <v>3520</v>
      </c>
      <c r="Q99">
        <f t="shared" si="160"/>
        <v>804.24771931898704</v>
      </c>
      <c r="R99">
        <f t="shared" si="152"/>
        <v>4324.247719318987</v>
      </c>
      <c r="S99">
        <f t="shared" si="89"/>
        <v>14118333.707433984</v>
      </c>
      <c r="T99">
        <f t="shared" si="153"/>
        <v>57.139500414724267</v>
      </c>
      <c r="U99">
        <f t="shared" si="154"/>
        <v>175.01028058381661</v>
      </c>
      <c r="V99">
        <f t="shared" si="155"/>
        <v>1.8745137417126614</v>
      </c>
      <c r="W99">
        <f t="shared" si="156"/>
        <v>951.33449825017715</v>
      </c>
      <c r="X99">
        <v>237.4</v>
      </c>
      <c r="Y99">
        <f t="shared" si="90"/>
        <v>0.24954419337957168</v>
      </c>
      <c r="Z99" t="str">
        <f t="shared" si="126"/>
        <v>LC-B98</v>
      </c>
      <c r="AA99">
        <f t="shared" si="142"/>
        <v>490</v>
      </c>
      <c r="AB99">
        <f t="shared" si="143"/>
        <v>517.02058150931066</v>
      </c>
      <c r="AC99">
        <f t="shared" si="144"/>
        <v>519.7880493042129</v>
      </c>
      <c r="AD99">
        <f t="shared" si="145"/>
        <v>325.88344850615891</v>
      </c>
      <c r="AE99">
        <f t="shared" si="146"/>
        <v>340.91105506800812</v>
      </c>
      <c r="AF99">
        <f t="shared" si="147"/>
        <v>1048.5769385290751</v>
      </c>
      <c r="AG99">
        <f t="shared" si="148"/>
        <v>0.2264020800734188</v>
      </c>
    </row>
    <row r="100" spans="1:33" x14ac:dyDescent="0.25">
      <c r="A100">
        <v>99</v>
      </c>
      <c r="B100">
        <v>355</v>
      </c>
      <c r="C100">
        <v>205</v>
      </c>
      <c r="D100">
        <v>0.9</v>
      </c>
      <c r="E100">
        <v>12000</v>
      </c>
      <c r="F100">
        <v>110</v>
      </c>
      <c r="G100">
        <f t="shared" si="149"/>
        <v>150</v>
      </c>
      <c r="H100">
        <v>8</v>
      </c>
      <c r="I100">
        <f t="shared" si="88"/>
        <v>13.75</v>
      </c>
      <c r="J100">
        <f t="shared" si="157"/>
        <v>0.24333752645608511</v>
      </c>
      <c r="K100">
        <f t="shared" si="150"/>
        <v>0.55000000000000004</v>
      </c>
      <c r="L100">
        <f t="shared" si="125"/>
        <v>12</v>
      </c>
      <c r="M100">
        <v>2.5</v>
      </c>
      <c r="N100">
        <f t="shared" si="151"/>
        <v>220</v>
      </c>
      <c r="O100">
        <f t="shared" si="158"/>
        <v>194300</v>
      </c>
      <c r="P100">
        <f t="shared" si="159"/>
        <v>3520</v>
      </c>
      <c r="Q100">
        <f t="shared" si="160"/>
        <v>804.24771931898704</v>
      </c>
      <c r="R100">
        <f t="shared" si="152"/>
        <v>4324.247719318987</v>
      </c>
      <c r="S100">
        <f t="shared" si="89"/>
        <v>14118333.707433984</v>
      </c>
      <c r="T100">
        <f t="shared" si="153"/>
        <v>57.139500414724267</v>
      </c>
      <c r="U100">
        <f t="shared" si="154"/>
        <v>210.01233670057994</v>
      </c>
      <c r="V100">
        <f t="shared" si="155"/>
        <v>2.2494164900551938</v>
      </c>
      <c r="W100">
        <f t="shared" si="156"/>
        <v>951.33449825017715</v>
      </c>
      <c r="X100">
        <v>169.8</v>
      </c>
      <c r="Y100">
        <f t="shared" si="90"/>
        <v>0.178486116410494</v>
      </c>
      <c r="Z100" t="str">
        <f t="shared" si="126"/>
        <v>LC-B99</v>
      </c>
      <c r="AA100">
        <f t="shared" si="142"/>
        <v>490</v>
      </c>
      <c r="AB100">
        <f t="shared" si="143"/>
        <v>517.02058150931066</v>
      </c>
      <c r="AC100">
        <f t="shared" si="144"/>
        <v>519.7880493042129</v>
      </c>
      <c r="AD100">
        <f t="shared" si="145"/>
        <v>325.88344850615891</v>
      </c>
      <c r="AE100">
        <f t="shared" si="146"/>
        <v>340.91105506800812</v>
      </c>
      <c r="AF100">
        <f t="shared" si="147"/>
        <v>1048.5769385290751</v>
      </c>
      <c r="AG100">
        <f t="shared" si="148"/>
        <v>0.16193375398680082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E6DDF-F458-4C9B-A61C-41C60C6F7423}">
  <dimension ref="A1:AK82"/>
  <sheetViews>
    <sheetView zoomScale="80" zoomScaleNormal="80" workbookViewId="0">
      <selection activeCell="M26" sqref="M26"/>
    </sheetView>
  </sheetViews>
  <sheetFormatPr defaultRowHeight="13.8" x14ac:dyDescent="0.25"/>
  <sheetData>
    <row r="1" spans="1:33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30</v>
      </c>
      <c r="F1" s="1" t="s">
        <v>31</v>
      </c>
      <c r="G1" t="s">
        <v>4</v>
      </c>
      <c r="H1" s="4" t="s">
        <v>5</v>
      </c>
      <c r="I1" s="4" t="s">
        <v>6</v>
      </c>
      <c r="J1" s="6" t="s">
        <v>26</v>
      </c>
      <c r="K1" s="1" t="s">
        <v>25</v>
      </c>
      <c r="L1" s="1" t="s">
        <v>24</v>
      </c>
      <c r="M1" s="1" t="s">
        <v>22</v>
      </c>
      <c r="N1" t="s">
        <v>7</v>
      </c>
      <c r="O1" t="s">
        <v>8</v>
      </c>
      <c r="P1" t="s">
        <v>9</v>
      </c>
      <c r="Q1" t="s">
        <v>10</v>
      </c>
      <c r="R1" t="s">
        <v>11</v>
      </c>
      <c r="S1" t="s">
        <v>28</v>
      </c>
      <c r="T1" t="s">
        <v>23</v>
      </c>
      <c r="U1" t="s">
        <v>29</v>
      </c>
      <c r="V1" s="5" t="s">
        <v>27</v>
      </c>
      <c r="W1" s="2" t="s">
        <v>12</v>
      </c>
      <c r="X1" s="2" t="s">
        <v>13</v>
      </c>
      <c r="Y1" s="3" t="s">
        <v>14</v>
      </c>
      <c r="Z1" s="3" t="s">
        <v>32</v>
      </c>
      <c r="AA1" t="s">
        <v>15</v>
      </c>
      <c r="AB1" t="s">
        <v>16</v>
      </c>
      <c r="AC1" t="s">
        <v>17</v>
      </c>
      <c r="AD1" t="s">
        <v>18</v>
      </c>
      <c r="AE1" t="s">
        <v>19</v>
      </c>
      <c r="AF1" s="2" t="s">
        <v>20</v>
      </c>
      <c r="AG1" s="3" t="s">
        <v>21</v>
      </c>
    </row>
    <row r="2" spans="1:33" x14ac:dyDescent="0.25">
      <c r="A2">
        <v>1</v>
      </c>
      <c r="B2">
        <v>355</v>
      </c>
      <c r="C2">
        <v>205</v>
      </c>
      <c r="D2">
        <v>0.1</v>
      </c>
      <c r="E2">
        <f t="shared" ref="E2:E10" si="0">U2*T2</f>
        <v>2642.7557401626837</v>
      </c>
      <c r="F2">
        <v>110</v>
      </c>
      <c r="G2">
        <f>F2+2*H2*M2</f>
        <v>150</v>
      </c>
      <c r="H2">
        <v>8</v>
      </c>
      <c r="I2">
        <f t="shared" ref="I2:I10" si="1">F2/H2</f>
        <v>13.75</v>
      </c>
      <c r="J2">
        <f t="shared" ref="J2:J10" si="2">SQRT(12*(1-0.3^2)*I2^2*N2/(4*PI()^2*O2))</f>
        <v>0.2947234458148324</v>
      </c>
      <c r="K2">
        <f t="shared" ref="K2:K10" si="3">H2*I2/200</f>
        <v>0.55000000000000004</v>
      </c>
      <c r="L2">
        <f t="shared" ref="L2:L10" si="4">E2/1000</f>
        <v>2.6427557401626838</v>
      </c>
      <c r="M2">
        <v>2.5</v>
      </c>
      <c r="N2">
        <f>D2*C2+(1-D2)*B2</f>
        <v>340</v>
      </c>
      <c r="O2">
        <f t="shared" ref="O2:O10" si="5">193000*D2+(1-D2)*206000</f>
        <v>204700</v>
      </c>
      <c r="P2">
        <f t="shared" ref="P2:P10" si="6">H2*I2*H2*4</f>
        <v>3520</v>
      </c>
      <c r="Q2">
        <f t="shared" ref="Q2:Q10" si="7">PI()*(M2*H2)^2-PI()*((M2-1)*H2)^2</f>
        <v>804.24771931898704</v>
      </c>
      <c r="R2">
        <f t="shared" ref="R2:R10" si="8">P2+Q2</f>
        <v>4324.247719318987</v>
      </c>
      <c r="S2">
        <f t="shared" ref="S2:S37" si="9">1/12*H2*(H2*I2)^3*2+(1/12*(H2*I2)*H2^3+(H2*I2)*H2*(G2/2-H2/2)^2)*2+PI()/8*((M2*H2)^4-((M2-1)*H2)^4)*2+1/2*PI()*((M2*H2)^2-((M2-1)*H2)^2)*(-1*((4*((M2*H2)^3-((M2-1)*H2)^3))/(3*PI()*((M2*H2)^2-((M2-1)*H2)^2)))^2+1*((4*((M2*H2)^3-((M2-1)*H2)^3))/(3*PI()*((M2*H2)^2-((M2-1)*H2)^2))+H2*I2/2)^2)*2</f>
        <v>14118333.707433984</v>
      </c>
      <c r="T2">
        <f t="shared" ref="T2:T10" si="10">SQRT(S2/R2)</f>
        <v>57.139500414724267</v>
      </c>
      <c r="U2">
        <f t="shared" ref="U2:U10" si="11">PI()*V2*SQRT(O2/N2)</f>
        <v>46.250942360036326</v>
      </c>
      <c r="V2">
        <v>0.6</v>
      </c>
      <c r="W2">
        <f>R2*N2/1000</f>
        <v>1470.2442245684556</v>
      </c>
      <c r="X2">
        <v>1194.9000000000001</v>
      </c>
      <c r="Y2">
        <f t="shared" ref="Y2:Y37" si="12">X2/W2</f>
        <v>0.81272211788536408</v>
      </c>
      <c r="Z2" t="str">
        <f t="shared" ref="Z2:Z10" si="13">"LC-bn"&amp;A2</f>
        <v>LC-bn1</v>
      </c>
      <c r="AA2">
        <f t="shared" ref="AA2:AA37" si="14">IF(B2=235,360,IF(B2=355,490,560))</f>
        <v>490</v>
      </c>
      <c r="AB2">
        <f>C2/(0.2+185*C2/193000)</f>
        <v>517.02058150931066</v>
      </c>
      <c r="AC2">
        <f t="shared" ref="AC2:AC37" si="15">B2*(2.769*(AA2/B2)-0.581*(AA2/B2)^2-1.182)/((M2-1)^(0.314*(AA2/B2)-0.32))</f>
        <v>519.7880493042129</v>
      </c>
      <c r="AD2">
        <f t="shared" ref="AD2:AD37" si="16">1.673*C2/(M2-1)^0.126</f>
        <v>325.88344850615891</v>
      </c>
      <c r="AE2">
        <f t="shared" ref="AE2:AE37" si="17">AC2*(1-((2*M2*H2-D2*H2)/(2*M2*H2-H2)*D2))+AD2*((2*M2*H2-D2*H2)/(2*M2*H2-H2)*D2)</f>
        <v>496.03473570645127</v>
      </c>
      <c r="AF2">
        <f t="shared" ref="AF2:AF10" si="18">(AE2*Q2+N2*P2)/1000</f>
        <v>1595.73480489491</v>
      </c>
      <c r="AG2">
        <f t="shared" ref="AG2:AG37" si="19">X2/AF2</f>
        <v>0.74880863432611056</v>
      </c>
    </row>
    <row r="3" spans="1:33" x14ac:dyDescent="0.25">
      <c r="A3">
        <v>2</v>
      </c>
      <c r="B3">
        <v>355</v>
      </c>
      <c r="C3">
        <v>205</v>
      </c>
      <c r="D3">
        <v>0.2</v>
      </c>
      <c r="E3">
        <f t="shared" si="0"/>
        <v>2694.4576116132266</v>
      </c>
      <c r="F3">
        <v>110</v>
      </c>
      <c r="G3">
        <f t="shared" ref="G3:G10" si="20">F3+2*H3*M3</f>
        <v>150</v>
      </c>
      <c r="H3">
        <v>8</v>
      </c>
      <c r="I3">
        <f t="shared" si="1"/>
        <v>13.75</v>
      </c>
      <c r="J3">
        <f t="shared" si="2"/>
        <v>0.28906822465146947</v>
      </c>
      <c r="K3">
        <f t="shared" si="3"/>
        <v>0.55000000000000004</v>
      </c>
      <c r="L3">
        <f t="shared" si="4"/>
        <v>2.6944576116132266</v>
      </c>
      <c r="M3">
        <v>2.5</v>
      </c>
      <c r="N3">
        <f t="shared" ref="N3:N10" si="21">D3*C3+(1-D3)*B3</f>
        <v>325</v>
      </c>
      <c r="O3">
        <f t="shared" si="5"/>
        <v>203400</v>
      </c>
      <c r="P3">
        <f t="shared" si="6"/>
        <v>3520</v>
      </c>
      <c r="Q3">
        <f t="shared" si="7"/>
        <v>804.24771931898704</v>
      </c>
      <c r="R3">
        <f t="shared" si="8"/>
        <v>4324.247719318987</v>
      </c>
      <c r="S3">
        <f t="shared" si="9"/>
        <v>14118333.707433984</v>
      </c>
      <c r="T3">
        <f t="shared" si="10"/>
        <v>57.139500414724267</v>
      </c>
      <c r="U3">
        <f t="shared" si="11"/>
        <v>47.155778262963118</v>
      </c>
      <c r="V3">
        <v>0.6</v>
      </c>
      <c r="W3">
        <f t="shared" ref="W3:W10" si="22">R3*N3/1000</f>
        <v>1405.3805087786709</v>
      </c>
      <c r="X3">
        <v>1167.2</v>
      </c>
      <c r="Y3">
        <f t="shared" si="12"/>
        <v>0.83052240493525931</v>
      </c>
      <c r="Z3" t="str">
        <f t="shared" si="13"/>
        <v>LC-bn2</v>
      </c>
      <c r="AA3">
        <f t="shared" si="14"/>
        <v>490</v>
      </c>
      <c r="AB3">
        <f>C3/(0.2+185*C3/193000)</f>
        <v>517.02058150931066</v>
      </c>
      <c r="AC3">
        <f t="shared" si="15"/>
        <v>519.7880493042129</v>
      </c>
      <c r="AD3">
        <f t="shared" si="16"/>
        <v>325.88344850615891</v>
      </c>
      <c r="AE3">
        <f t="shared" si="17"/>
        <v>473.25094511267991</v>
      </c>
      <c r="AF3">
        <f t="shared" si="18"/>
        <v>1524.610993272428</v>
      </c>
      <c r="AG3">
        <f t="shared" si="19"/>
        <v>0.76557233625524346</v>
      </c>
    </row>
    <row r="4" spans="1:33" x14ac:dyDescent="0.25">
      <c r="A4">
        <v>3</v>
      </c>
      <c r="B4">
        <v>355</v>
      </c>
      <c r="C4">
        <v>205</v>
      </c>
      <c r="D4">
        <v>0.3</v>
      </c>
      <c r="E4">
        <f t="shared" si="0"/>
        <v>2750.0454522765431</v>
      </c>
      <c r="F4">
        <v>110</v>
      </c>
      <c r="G4">
        <f t="shared" si="20"/>
        <v>150</v>
      </c>
      <c r="H4">
        <v>8</v>
      </c>
      <c r="I4">
        <f t="shared" si="1"/>
        <v>13.75</v>
      </c>
      <c r="J4">
        <f t="shared" si="2"/>
        <v>0.28322516543968385</v>
      </c>
      <c r="K4">
        <f t="shared" si="3"/>
        <v>0.55000000000000004</v>
      </c>
      <c r="L4">
        <f t="shared" si="4"/>
        <v>2.750045452276543</v>
      </c>
      <c r="M4">
        <v>2.5</v>
      </c>
      <c r="N4">
        <f t="shared" si="21"/>
        <v>310</v>
      </c>
      <c r="O4">
        <f t="shared" si="5"/>
        <v>202100</v>
      </c>
      <c r="P4">
        <f t="shared" si="6"/>
        <v>3520</v>
      </c>
      <c r="Q4">
        <f t="shared" si="7"/>
        <v>804.24771931898704</v>
      </c>
      <c r="R4">
        <f t="shared" si="8"/>
        <v>4324.247719318987</v>
      </c>
      <c r="S4">
        <f t="shared" si="9"/>
        <v>14118333.707433984</v>
      </c>
      <c r="T4">
        <f t="shared" si="10"/>
        <v>57.139500414724267</v>
      </c>
      <c r="U4">
        <f t="shared" si="11"/>
        <v>48.128622622116666</v>
      </c>
      <c r="V4">
        <v>0.6</v>
      </c>
      <c r="W4">
        <f t="shared" si="22"/>
        <v>1340.516792988886</v>
      </c>
      <c r="X4">
        <v>1118.0999999999999</v>
      </c>
      <c r="Y4">
        <f t="shared" si="12"/>
        <v>0.83408130793126878</v>
      </c>
      <c r="Z4" t="str">
        <f t="shared" si="13"/>
        <v>LC-bn3</v>
      </c>
      <c r="AA4">
        <f t="shared" si="14"/>
        <v>490</v>
      </c>
      <c r="AB4">
        <f t="shared" ref="AB4:AB10" si="23">C4/(0.2+185*C4/193000)</f>
        <v>517.02058150931066</v>
      </c>
      <c r="AC4">
        <f t="shared" si="15"/>
        <v>519.7880493042129</v>
      </c>
      <c r="AD4">
        <f t="shared" si="16"/>
        <v>325.88344850615891</v>
      </c>
      <c r="AE4">
        <f t="shared" si="17"/>
        <v>451.43667752289889</v>
      </c>
      <c r="AF4">
        <f t="shared" si="18"/>
        <v>1454.2669183147323</v>
      </c>
      <c r="AG4">
        <f t="shared" si="19"/>
        <v>0.76884097817180819</v>
      </c>
    </row>
    <row r="5" spans="1:33" x14ac:dyDescent="0.25">
      <c r="A5">
        <v>4</v>
      </c>
      <c r="B5">
        <v>355</v>
      </c>
      <c r="C5">
        <v>205</v>
      </c>
      <c r="D5">
        <v>0.4</v>
      </c>
      <c r="E5">
        <f t="shared" si="0"/>
        <v>2810.0135121155486</v>
      </c>
      <c r="F5">
        <v>110</v>
      </c>
      <c r="G5">
        <f t="shared" si="20"/>
        <v>150</v>
      </c>
      <c r="H5">
        <v>8</v>
      </c>
      <c r="I5">
        <f t="shared" si="1"/>
        <v>13.75</v>
      </c>
      <c r="J5">
        <f t="shared" si="2"/>
        <v>0.27718090138338314</v>
      </c>
      <c r="K5">
        <f t="shared" si="3"/>
        <v>0.55000000000000004</v>
      </c>
      <c r="L5">
        <f t="shared" si="4"/>
        <v>2.8100135121155487</v>
      </c>
      <c r="M5">
        <v>2.5</v>
      </c>
      <c r="N5">
        <f t="shared" si="21"/>
        <v>295</v>
      </c>
      <c r="O5">
        <f t="shared" si="5"/>
        <v>200800</v>
      </c>
      <c r="P5">
        <f t="shared" si="6"/>
        <v>3520</v>
      </c>
      <c r="Q5">
        <f t="shared" si="7"/>
        <v>804.24771931898704</v>
      </c>
      <c r="R5">
        <f t="shared" si="8"/>
        <v>4324.247719318987</v>
      </c>
      <c r="S5">
        <f t="shared" si="9"/>
        <v>14118333.707433984</v>
      </c>
      <c r="T5">
        <f t="shared" si="10"/>
        <v>57.139500414724267</v>
      </c>
      <c r="U5">
        <f t="shared" si="11"/>
        <v>49.178125319965815</v>
      </c>
      <c r="V5">
        <v>0.6</v>
      </c>
      <c r="W5">
        <f t="shared" si="22"/>
        <v>1275.6530771991013</v>
      </c>
      <c r="X5">
        <v>1068</v>
      </c>
      <c r="Y5">
        <f t="shared" si="12"/>
        <v>0.83721822107383881</v>
      </c>
      <c r="Z5" t="str">
        <f t="shared" si="13"/>
        <v>LC-bn4</v>
      </c>
      <c r="AA5">
        <f t="shared" si="14"/>
        <v>490</v>
      </c>
      <c r="AB5">
        <f t="shared" si="23"/>
        <v>517.02058150931066</v>
      </c>
      <c r="AC5">
        <f t="shared" si="15"/>
        <v>519.7880493042129</v>
      </c>
      <c r="AD5">
        <f t="shared" si="16"/>
        <v>325.88344850615891</v>
      </c>
      <c r="AE5">
        <f t="shared" si="17"/>
        <v>430.59193293710808</v>
      </c>
      <c r="AF5">
        <f t="shared" si="18"/>
        <v>1384.7025800218232</v>
      </c>
      <c r="AG5">
        <f t="shared" si="19"/>
        <v>0.77128476209177577</v>
      </c>
    </row>
    <row r="6" spans="1:33" x14ac:dyDescent="0.25">
      <c r="A6">
        <v>5</v>
      </c>
      <c r="B6">
        <v>355</v>
      </c>
      <c r="C6">
        <v>205</v>
      </c>
      <c r="D6">
        <v>0.5</v>
      </c>
      <c r="E6">
        <f t="shared" si="0"/>
        <v>2874.9480161812858</v>
      </c>
      <c r="F6">
        <v>110</v>
      </c>
      <c r="G6">
        <f t="shared" si="20"/>
        <v>150</v>
      </c>
      <c r="H6">
        <v>8</v>
      </c>
      <c r="I6">
        <f t="shared" si="1"/>
        <v>13.75</v>
      </c>
      <c r="J6">
        <f t="shared" si="2"/>
        <v>0.27092040405733725</v>
      </c>
      <c r="K6">
        <f t="shared" si="3"/>
        <v>0.55000000000000004</v>
      </c>
      <c r="L6">
        <f t="shared" si="4"/>
        <v>2.8749480161812859</v>
      </c>
      <c r="M6">
        <v>2.5</v>
      </c>
      <c r="N6">
        <f t="shared" si="21"/>
        <v>280</v>
      </c>
      <c r="O6">
        <f t="shared" si="5"/>
        <v>199500</v>
      </c>
      <c r="P6">
        <f t="shared" si="6"/>
        <v>3520</v>
      </c>
      <c r="Q6">
        <f t="shared" si="7"/>
        <v>804.24771931898704</v>
      </c>
      <c r="R6">
        <f t="shared" si="8"/>
        <v>4324.247719318987</v>
      </c>
      <c r="S6">
        <f t="shared" si="9"/>
        <v>14118333.707433984</v>
      </c>
      <c r="T6">
        <f t="shared" si="10"/>
        <v>57.139500414724267</v>
      </c>
      <c r="U6">
        <f t="shared" si="11"/>
        <v>50.314545897577375</v>
      </c>
      <c r="V6">
        <v>0.6</v>
      </c>
      <c r="W6">
        <f t="shared" si="22"/>
        <v>1210.7893614093164</v>
      </c>
      <c r="X6">
        <v>1011.4</v>
      </c>
      <c r="Y6">
        <f t="shared" si="12"/>
        <v>0.83532283338099855</v>
      </c>
      <c r="Z6" t="str">
        <f t="shared" si="13"/>
        <v>LC-bn5</v>
      </c>
      <c r="AA6">
        <f t="shared" si="14"/>
        <v>490</v>
      </c>
      <c r="AB6">
        <f t="shared" si="23"/>
        <v>517.02058150931066</v>
      </c>
      <c r="AC6">
        <f t="shared" si="15"/>
        <v>519.7880493042129</v>
      </c>
      <c r="AD6">
        <f t="shared" si="16"/>
        <v>325.88344850615891</v>
      </c>
      <c r="AE6">
        <f t="shared" si="17"/>
        <v>410.71671135530755</v>
      </c>
      <c r="AF6">
        <f t="shared" si="18"/>
        <v>1315.9179783937009</v>
      </c>
      <c r="AG6">
        <f t="shared" si="19"/>
        <v>0.76858893685348362</v>
      </c>
    </row>
    <row r="7" spans="1:33" x14ac:dyDescent="0.25">
      <c r="A7">
        <v>6</v>
      </c>
      <c r="B7">
        <v>355</v>
      </c>
      <c r="C7">
        <v>205</v>
      </c>
      <c r="D7">
        <v>0.6</v>
      </c>
      <c r="E7">
        <f t="shared" si="0"/>
        <v>2945.5503453654123</v>
      </c>
      <c r="F7">
        <v>110</v>
      </c>
      <c r="G7">
        <f t="shared" si="20"/>
        <v>150</v>
      </c>
      <c r="H7">
        <v>8</v>
      </c>
      <c r="I7">
        <f t="shared" si="1"/>
        <v>13.75</v>
      </c>
      <c r="J7">
        <f t="shared" si="2"/>
        <v>0.26442667307085166</v>
      </c>
      <c r="K7">
        <f t="shared" si="3"/>
        <v>0.55000000000000004</v>
      </c>
      <c r="L7">
        <f t="shared" si="4"/>
        <v>2.9455503453654122</v>
      </c>
      <c r="M7">
        <v>2.5</v>
      </c>
      <c r="N7">
        <f t="shared" si="21"/>
        <v>265</v>
      </c>
      <c r="O7">
        <f t="shared" si="5"/>
        <v>198200</v>
      </c>
      <c r="P7">
        <f t="shared" si="6"/>
        <v>3520</v>
      </c>
      <c r="Q7">
        <f t="shared" si="7"/>
        <v>804.24771931898704</v>
      </c>
      <c r="R7">
        <f t="shared" si="8"/>
        <v>4324.247719318987</v>
      </c>
      <c r="S7">
        <f t="shared" si="9"/>
        <v>14118333.707433984</v>
      </c>
      <c r="T7">
        <f t="shared" si="10"/>
        <v>57.139500414724267</v>
      </c>
      <c r="U7">
        <f t="shared" si="11"/>
        <v>51.550159241615873</v>
      </c>
      <c r="V7">
        <v>0.6</v>
      </c>
      <c r="W7">
        <f t="shared" si="22"/>
        <v>1145.9256456195317</v>
      </c>
      <c r="X7">
        <v>953.8</v>
      </c>
      <c r="Y7">
        <f t="shared" si="12"/>
        <v>0.83234021652804435</v>
      </c>
      <c r="Z7" t="str">
        <f t="shared" si="13"/>
        <v>LC-bn6</v>
      </c>
      <c r="AA7">
        <f t="shared" si="14"/>
        <v>490</v>
      </c>
      <c r="AB7">
        <f t="shared" si="23"/>
        <v>517.02058150931066</v>
      </c>
      <c r="AC7">
        <f t="shared" si="15"/>
        <v>519.7880493042129</v>
      </c>
      <c r="AD7">
        <f t="shared" si="16"/>
        <v>325.88344850615891</v>
      </c>
      <c r="AE7">
        <f t="shared" si="17"/>
        <v>391.81101277749724</v>
      </c>
      <c r="AF7">
        <f t="shared" si="18"/>
        <v>1247.9131134303645</v>
      </c>
      <c r="AG7">
        <f t="shared" si="19"/>
        <v>0.76431603269086368</v>
      </c>
    </row>
    <row r="8" spans="1:33" x14ac:dyDescent="0.25">
      <c r="A8">
        <v>7</v>
      </c>
      <c r="B8">
        <v>355</v>
      </c>
      <c r="C8">
        <v>205</v>
      </c>
      <c r="D8">
        <v>0.7</v>
      </c>
      <c r="E8">
        <f t="shared" si="0"/>
        <v>3022.6677732394601</v>
      </c>
      <c r="F8">
        <v>110</v>
      </c>
      <c r="G8">
        <f t="shared" si="20"/>
        <v>150</v>
      </c>
      <c r="H8">
        <v>8</v>
      </c>
      <c r="I8">
        <f t="shared" si="1"/>
        <v>13.75</v>
      </c>
      <c r="J8">
        <f t="shared" si="2"/>
        <v>0.25768034617741953</v>
      </c>
      <c r="K8">
        <f t="shared" si="3"/>
        <v>0.55000000000000004</v>
      </c>
      <c r="L8">
        <f t="shared" si="4"/>
        <v>3.0226677732394602</v>
      </c>
      <c r="M8">
        <v>2.5</v>
      </c>
      <c r="N8">
        <f t="shared" si="21"/>
        <v>250</v>
      </c>
      <c r="O8">
        <f t="shared" si="5"/>
        <v>196900</v>
      </c>
      <c r="P8">
        <f t="shared" si="6"/>
        <v>3520</v>
      </c>
      <c r="Q8">
        <f t="shared" si="7"/>
        <v>804.24771931898704</v>
      </c>
      <c r="R8">
        <f t="shared" si="8"/>
        <v>4324.247719318987</v>
      </c>
      <c r="S8">
        <f t="shared" si="9"/>
        <v>14118333.707433984</v>
      </c>
      <c r="T8">
        <f t="shared" si="10"/>
        <v>57.139500414724267</v>
      </c>
      <c r="U8">
        <f t="shared" si="11"/>
        <v>52.899793510629813</v>
      </c>
      <c r="V8">
        <v>0.6</v>
      </c>
      <c r="W8">
        <f t="shared" si="22"/>
        <v>1081.0619298297468</v>
      </c>
      <c r="X8">
        <v>897.1</v>
      </c>
      <c r="Y8">
        <f t="shared" si="12"/>
        <v>0.82983220040065753</v>
      </c>
      <c r="Z8" t="str">
        <f t="shared" si="13"/>
        <v>LC-bn7</v>
      </c>
      <c r="AA8">
        <f t="shared" si="14"/>
        <v>490</v>
      </c>
      <c r="AB8">
        <f t="shared" si="23"/>
        <v>517.02058150931066</v>
      </c>
      <c r="AC8">
        <f t="shared" si="15"/>
        <v>519.7880493042129</v>
      </c>
      <c r="AD8">
        <f t="shared" si="16"/>
        <v>325.88344850615891</v>
      </c>
      <c r="AE8">
        <f t="shared" si="17"/>
        <v>373.87483720367732</v>
      </c>
      <c r="AF8">
        <f t="shared" si="18"/>
        <v>1180.6879851318151</v>
      </c>
      <c r="AG8">
        <f t="shared" si="19"/>
        <v>0.75981123827549191</v>
      </c>
    </row>
    <row r="9" spans="1:33" x14ac:dyDescent="0.25">
      <c r="A9">
        <v>8</v>
      </c>
      <c r="B9">
        <v>355</v>
      </c>
      <c r="C9">
        <v>205</v>
      </c>
      <c r="D9">
        <v>0.8</v>
      </c>
      <c r="E9">
        <f t="shared" si="0"/>
        <v>3107.3348516485548</v>
      </c>
      <c r="F9">
        <v>110</v>
      </c>
      <c r="G9">
        <f t="shared" si="20"/>
        <v>150</v>
      </c>
      <c r="H9">
        <v>8</v>
      </c>
      <c r="I9">
        <f t="shared" si="1"/>
        <v>13.75</v>
      </c>
      <c r="J9">
        <f t="shared" si="2"/>
        <v>0.25065920326367425</v>
      </c>
      <c r="K9">
        <f t="shared" si="3"/>
        <v>0.55000000000000004</v>
      </c>
      <c r="L9">
        <f t="shared" si="4"/>
        <v>3.1073348516485551</v>
      </c>
      <c r="M9">
        <v>2.5</v>
      </c>
      <c r="N9">
        <f t="shared" si="21"/>
        <v>235</v>
      </c>
      <c r="O9">
        <f t="shared" si="5"/>
        <v>195600</v>
      </c>
      <c r="P9">
        <f t="shared" si="6"/>
        <v>3520</v>
      </c>
      <c r="Q9">
        <f t="shared" si="7"/>
        <v>804.24771931898704</v>
      </c>
      <c r="R9">
        <f t="shared" si="8"/>
        <v>4324.247719318987</v>
      </c>
      <c r="S9">
        <f t="shared" si="9"/>
        <v>14118333.707433984</v>
      </c>
      <c r="T9">
        <f t="shared" si="10"/>
        <v>57.139500414724267</v>
      </c>
      <c r="U9">
        <f t="shared" si="11"/>
        <v>54.381554425488574</v>
      </c>
      <c r="V9">
        <v>0.6</v>
      </c>
      <c r="W9">
        <f t="shared" si="22"/>
        <v>1016.198214039962</v>
      </c>
      <c r="X9">
        <v>843</v>
      </c>
      <c r="Y9">
        <f t="shared" si="12"/>
        <v>0.8295625679645694</v>
      </c>
      <c r="Z9" t="str">
        <f t="shared" si="13"/>
        <v>LC-bn8</v>
      </c>
      <c r="AA9">
        <f t="shared" si="14"/>
        <v>490</v>
      </c>
      <c r="AB9">
        <f t="shared" si="23"/>
        <v>517.02058150931066</v>
      </c>
      <c r="AC9">
        <f t="shared" si="15"/>
        <v>519.7880493042129</v>
      </c>
      <c r="AD9">
        <f t="shared" si="16"/>
        <v>325.88344850615891</v>
      </c>
      <c r="AE9">
        <f t="shared" si="17"/>
        <v>356.90818463384755</v>
      </c>
      <c r="AF9">
        <f t="shared" si="18"/>
        <v>1114.242593498052</v>
      </c>
      <c r="AG9">
        <f t="shared" si="19"/>
        <v>0.75656773930485521</v>
      </c>
    </row>
    <row r="10" spans="1:33" x14ac:dyDescent="0.25">
      <c r="A10">
        <v>9</v>
      </c>
      <c r="B10">
        <v>355</v>
      </c>
      <c r="C10">
        <v>205</v>
      </c>
      <c r="D10">
        <v>0.9</v>
      </c>
      <c r="E10">
        <f t="shared" si="0"/>
        <v>3200.8300960856445</v>
      </c>
      <c r="F10">
        <v>110</v>
      </c>
      <c r="G10">
        <f t="shared" si="20"/>
        <v>150</v>
      </c>
      <c r="H10">
        <v>8</v>
      </c>
      <c r="I10">
        <f t="shared" si="1"/>
        <v>13.75</v>
      </c>
      <c r="J10">
        <f t="shared" si="2"/>
        <v>0.24333752645608511</v>
      </c>
      <c r="K10">
        <f t="shared" si="3"/>
        <v>0.55000000000000004</v>
      </c>
      <c r="L10">
        <f t="shared" si="4"/>
        <v>3.2008300960856446</v>
      </c>
      <c r="M10">
        <v>2.5</v>
      </c>
      <c r="N10">
        <f t="shared" si="21"/>
        <v>220</v>
      </c>
      <c r="O10">
        <f t="shared" si="5"/>
        <v>194300</v>
      </c>
      <c r="P10">
        <f t="shared" si="6"/>
        <v>3520</v>
      </c>
      <c r="Q10">
        <f t="shared" si="7"/>
        <v>804.24771931898704</v>
      </c>
      <c r="R10">
        <f t="shared" si="8"/>
        <v>4324.247719318987</v>
      </c>
      <c r="S10">
        <f t="shared" si="9"/>
        <v>14118333.707433984</v>
      </c>
      <c r="T10">
        <f t="shared" si="10"/>
        <v>57.139500414724267</v>
      </c>
      <c r="U10">
        <f t="shared" si="11"/>
        <v>56.017817321707334</v>
      </c>
      <c r="V10">
        <v>0.6</v>
      </c>
      <c r="W10">
        <f t="shared" si="22"/>
        <v>951.33449825017715</v>
      </c>
      <c r="X10">
        <v>789.5</v>
      </c>
      <c r="Y10">
        <f t="shared" si="12"/>
        <v>0.82988686045986448</v>
      </c>
      <c r="Z10" t="str">
        <f t="shared" si="13"/>
        <v>LC-bn9</v>
      </c>
      <c r="AA10">
        <f t="shared" si="14"/>
        <v>490</v>
      </c>
      <c r="AB10">
        <f t="shared" si="23"/>
        <v>517.02058150931066</v>
      </c>
      <c r="AC10">
        <f t="shared" si="15"/>
        <v>519.7880493042129</v>
      </c>
      <c r="AD10">
        <f t="shared" si="16"/>
        <v>325.88344850615891</v>
      </c>
      <c r="AE10">
        <f t="shared" si="17"/>
        <v>340.91105506800812</v>
      </c>
      <c r="AF10">
        <f t="shared" si="18"/>
        <v>1048.5769385290751</v>
      </c>
      <c r="AG10">
        <f t="shared" si="19"/>
        <v>0.75292519889622644</v>
      </c>
    </row>
    <row r="11" spans="1:33" x14ac:dyDescent="0.25">
      <c r="A11">
        <v>10</v>
      </c>
      <c r="B11">
        <v>355</v>
      </c>
      <c r="C11">
        <v>205</v>
      </c>
      <c r="D11">
        <v>0.1</v>
      </c>
      <c r="E11">
        <f t="shared" ref="E11:E19" si="24">U11*T11</f>
        <v>5285.5114803253673</v>
      </c>
      <c r="F11">
        <v>110</v>
      </c>
      <c r="G11">
        <f>F11+2*H11*M11</f>
        <v>150</v>
      </c>
      <c r="H11">
        <v>8</v>
      </c>
      <c r="I11">
        <f t="shared" ref="I11:I19" si="25">F11/H11</f>
        <v>13.75</v>
      </c>
      <c r="J11">
        <f t="shared" ref="J11:J19" si="26">SQRT(12*(1-0.3^2)*I11^2*N11/(4*PI()^2*O11))</f>
        <v>0.2947234458148324</v>
      </c>
      <c r="K11">
        <f t="shared" ref="K11:K19" si="27">H11*I11/200</f>
        <v>0.55000000000000004</v>
      </c>
      <c r="L11">
        <f t="shared" ref="L11:L28" si="28">E11/1000</f>
        <v>5.2855114803253676</v>
      </c>
      <c r="M11">
        <v>2.5</v>
      </c>
      <c r="N11">
        <f t="shared" ref="N11:N19" si="29">D11*C11+(1-D11)*B11</f>
        <v>340</v>
      </c>
      <c r="O11">
        <f t="shared" ref="O11:O19" si="30">193000*D11+(1-D11)*206000</f>
        <v>204700</v>
      </c>
      <c r="P11">
        <f t="shared" ref="P11:P19" si="31">H11*I11*H11*4</f>
        <v>3520</v>
      </c>
      <c r="Q11">
        <f t="shared" ref="Q11:Q19" si="32">PI()*(M11*H11)^2-PI()*((M11-1)*H11)^2</f>
        <v>804.24771931898704</v>
      </c>
      <c r="R11">
        <f t="shared" ref="R11:R19" si="33">P11+Q11</f>
        <v>4324.247719318987</v>
      </c>
      <c r="S11">
        <f t="shared" si="9"/>
        <v>14118333.707433984</v>
      </c>
      <c r="T11">
        <f t="shared" ref="T11:T19" si="34">SQRT(S11/R11)</f>
        <v>57.139500414724267</v>
      </c>
      <c r="U11">
        <f t="shared" ref="U11:U19" si="35">PI()*V11*SQRT(O11/N11)</f>
        <v>92.501884720072653</v>
      </c>
      <c r="V11">
        <v>1.2</v>
      </c>
      <c r="W11">
        <f t="shared" ref="W11:W19" si="36">R11*N11/1000</f>
        <v>1470.2442245684556</v>
      </c>
      <c r="X11">
        <v>746.4</v>
      </c>
      <c r="Y11">
        <f t="shared" si="12"/>
        <v>0.50767075804639361</v>
      </c>
      <c r="Z11" t="str">
        <f t="shared" ref="Z11:Z19" si="37">"LC-bn"&amp;A11</f>
        <v>LC-bn10</v>
      </c>
      <c r="AA11">
        <f t="shared" si="14"/>
        <v>490</v>
      </c>
      <c r="AB11">
        <f>C11/(0.2+185*C11/193000)</f>
        <v>517.02058150931066</v>
      </c>
      <c r="AC11">
        <f t="shared" si="15"/>
        <v>519.7880493042129</v>
      </c>
      <c r="AD11">
        <f t="shared" si="16"/>
        <v>325.88344850615891</v>
      </c>
      <c r="AE11">
        <f t="shared" si="17"/>
        <v>496.03473570645127</v>
      </c>
      <c r="AF11">
        <f t="shared" ref="AF11:AF18" si="38">(AE11*Q11+N11*P11)/1000</f>
        <v>1595.73480489491</v>
      </c>
      <c r="AG11">
        <f t="shared" si="19"/>
        <v>0.46774689485397014</v>
      </c>
    </row>
    <row r="12" spans="1:33" x14ac:dyDescent="0.25">
      <c r="A12">
        <v>11</v>
      </c>
      <c r="B12">
        <v>355</v>
      </c>
      <c r="C12">
        <v>205</v>
      </c>
      <c r="D12">
        <v>0.2</v>
      </c>
      <c r="E12">
        <f t="shared" si="24"/>
        <v>5388.9152232264532</v>
      </c>
      <c r="F12">
        <v>110</v>
      </c>
      <c r="G12">
        <f t="shared" ref="G12:G19" si="39">F12+2*H12*M12</f>
        <v>150</v>
      </c>
      <c r="H12">
        <v>8</v>
      </c>
      <c r="I12">
        <f t="shared" si="25"/>
        <v>13.75</v>
      </c>
      <c r="J12">
        <f t="shared" si="26"/>
        <v>0.28906822465146947</v>
      </c>
      <c r="K12">
        <f t="shared" si="27"/>
        <v>0.55000000000000004</v>
      </c>
      <c r="L12">
        <f t="shared" si="28"/>
        <v>5.3889152232264532</v>
      </c>
      <c r="M12">
        <v>2.5</v>
      </c>
      <c r="N12">
        <f t="shared" si="29"/>
        <v>325</v>
      </c>
      <c r="O12">
        <f t="shared" si="30"/>
        <v>203400</v>
      </c>
      <c r="P12">
        <f t="shared" si="31"/>
        <v>3520</v>
      </c>
      <c r="Q12">
        <f t="shared" si="32"/>
        <v>804.24771931898704</v>
      </c>
      <c r="R12">
        <f t="shared" si="33"/>
        <v>4324.247719318987</v>
      </c>
      <c r="S12">
        <f t="shared" si="9"/>
        <v>14118333.707433984</v>
      </c>
      <c r="T12">
        <f t="shared" si="34"/>
        <v>57.139500414724267</v>
      </c>
      <c r="U12">
        <f t="shared" si="35"/>
        <v>94.311556525926235</v>
      </c>
      <c r="V12">
        <v>1.2</v>
      </c>
      <c r="W12">
        <f t="shared" si="36"/>
        <v>1405.3805087786709</v>
      </c>
      <c r="X12">
        <v>727.5</v>
      </c>
      <c r="Y12">
        <f t="shared" si="12"/>
        <v>0.51765340095133749</v>
      </c>
      <c r="Z12" t="str">
        <f t="shared" si="37"/>
        <v>LC-bn11</v>
      </c>
      <c r="AA12">
        <f t="shared" si="14"/>
        <v>490</v>
      </c>
      <c r="AB12">
        <f>C12/(0.2+185*C12/193000)</f>
        <v>517.02058150931066</v>
      </c>
      <c r="AC12">
        <f t="shared" si="15"/>
        <v>519.7880493042129</v>
      </c>
      <c r="AD12">
        <f t="shared" si="16"/>
        <v>325.88344850615891</v>
      </c>
      <c r="AE12">
        <f t="shared" si="17"/>
        <v>473.25094511267991</v>
      </c>
      <c r="AF12">
        <f t="shared" si="38"/>
        <v>1524.610993272428</v>
      </c>
      <c r="AG12">
        <f t="shared" si="19"/>
        <v>0.47717090012481977</v>
      </c>
    </row>
    <row r="13" spans="1:33" x14ac:dyDescent="0.25">
      <c r="A13">
        <v>12</v>
      </c>
      <c r="B13">
        <v>355</v>
      </c>
      <c r="C13">
        <v>205</v>
      </c>
      <c r="D13">
        <v>0.3</v>
      </c>
      <c r="E13">
        <f t="shared" si="24"/>
        <v>5500.0909045530861</v>
      </c>
      <c r="F13">
        <v>110</v>
      </c>
      <c r="G13">
        <f t="shared" si="39"/>
        <v>150</v>
      </c>
      <c r="H13">
        <v>8</v>
      </c>
      <c r="I13">
        <f t="shared" si="25"/>
        <v>13.75</v>
      </c>
      <c r="J13">
        <f t="shared" si="26"/>
        <v>0.28322516543968385</v>
      </c>
      <c r="K13">
        <f t="shared" si="27"/>
        <v>0.55000000000000004</v>
      </c>
      <c r="L13">
        <f t="shared" si="28"/>
        <v>5.5000909045530859</v>
      </c>
      <c r="M13">
        <v>2.5</v>
      </c>
      <c r="N13">
        <f t="shared" si="29"/>
        <v>310</v>
      </c>
      <c r="O13">
        <f t="shared" si="30"/>
        <v>202100</v>
      </c>
      <c r="P13">
        <f t="shared" si="31"/>
        <v>3520</v>
      </c>
      <c r="Q13">
        <f t="shared" si="32"/>
        <v>804.24771931898704</v>
      </c>
      <c r="R13">
        <f t="shared" si="33"/>
        <v>4324.247719318987</v>
      </c>
      <c r="S13">
        <f t="shared" si="9"/>
        <v>14118333.707433984</v>
      </c>
      <c r="T13">
        <f t="shared" si="34"/>
        <v>57.139500414724267</v>
      </c>
      <c r="U13">
        <f t="shared" si="35"/>
        <v>96.257245244233332</v>
      </c>
      <c r="V13">
        <v>1.2</v>
      </c>
      <c r="W13">
        <f t="shared" si="36"/>
        <v>1340.516792988886</v>
      </c>
      <c r="X13">
        <v>701.5</v>
      </c>
      <c r="Y13">
        <f t="shared" si="12"/>
        <v>0.52330564127876322</v>
      </c>
      <c r="Z13" t="str">
        <f t="shared" si="37"/>
        <v>LC-bn12</v>
      </c>
      <c r="AA13">
        <f t="shared" si="14"/>
        <v>490</v>
      </c>
      <c r="AB13">
        <f t="shared" ref="AB13:AB18" si="40">C13/(0.2+185*C13/193000)</f>
        <v>517.02058150931066</v>
      </c>
      <c r="AC13">
        <f t="shared" si="15"/>
        <v>519.7880493042129</v>
      </c>
      <c r="AD13">
        <f t="shared" si="16"/>
        <v>325.88344850615891</v>
      </c>
      <c r="AE13">
        <f t="shared" si="17"/>
        <v>451.43667752289889</v>
      </c>
      <c r="AF13">
        <f t="shared" si="38"/>
        <v>1454.2669183147323</v>
      </c>
      <c r="AG13">
        <f t="shared" si="19"/>
        <v>0.48237362148960156</v>
      </c>
    </row>
    <row r="14" spans="1:33" x14ac:dyDescent="0.25">
      <c r="A14">
        <v>13</v>
      </c>
      <c r="B14">
        <v>355</v>
      </c>
      <c r="C14">
        <v>205</v>
      </c>
      <c r="D14">
        <v>0.4</v>
      </c>
      <c r="E14">
        <f t="shared" si="24"/>
        <v>5620.0270242310971</v>
      </c>
      <c r="F14">
        <v>110</v>
      </c>
      <c r="G14">
        <f t="shared" si="39"/>
        <v>150</v>
      </c>
      <c r="H14">
        <v>8</v>
      </c>
      <c r="I14">
        <f t="shared" si="25"/>
        <v>13.75</v>
      </c>
      <c r="J14">
        <f t="shared" si="26"/>
        <v>0.27718090138338314</v>
      </c>
      <c r="K14">
        <f t="shared" si="27"/>
        <v>0.55000000000000004</v>
      </c>
      <c r="L14">
        <f t="shared" si="28"/>
        <v>5.6200270242310975</v>
      </c>
      <c r="M14">
        <v>2.5</v>
      </c>
      <c r="N14">
        <f t="shared" si="29"/>
        <v>295</v>
      </c>
      <c r="O14">
        <f t="shared" si="30"/>
        <v>200800</v>
      </c>
      <c r="P14">
        <f t="shared" si="31"/>
        <v>3520</v>
      </c>
      <c r="Q14">
        <f t="shared" si="32"/>
        <v>804.24771931898704</v>
      </c>
      <c r="R14">
        <f t="shared" si="33"/>
        <v>4324.247719318987</v>
      </c>
      <c r="S14">
        <f t="shared" si="9"/>
        <v>14118333.707433984</v>
      </c>
      <c r="T14">
        <f t="shared" si="34"/>
        <v>57.139500414724267</v>
      </c>
      <c r="U14">
        <f t="shared" si="35"/>
        <v>98.356250639931631</v>
      </c>
      <c r="V14">
        <v>1.2</v>
      </c>
      <c r="W14">
        <f t="shared" si="36"/>
        <v>1275.6530771991013</v>
      </c>
      <c r="X14">
        <v>667</v>
      </c>
      <c r="Y14">
        <f t="shared" si="12"/>
        <v>0.52286943207514092</v>
      </c>
      <c r="Z14" t="str">
        <f t="shared" si="37"/>
        <v>LC-bn13</v>
      </c>
      <c r="AA14">
        <f t="shared" si="14"/>
        <v>490</v>
      </c>
      <c r="AB14">
        <f t="shared" si="40"/>
        <v>517.02058150931066</v>
      </c>
      <c r="AC14">
        <f t="shared" si="15"/>
        <v>519.7880493042129</v>
      </c>
      <c r="AD14">
        <f t="shared" si="16"/>
        <v>325.88344850615891</v>
      </c>
      <c r="AE14">
        <f t="shared" si="17"/>
        <v>430.59193293710808</v>
      </c>
      <c r="AF14">
        <f t="shared" si="38"/>
        <v>1384.7025800218232</v>
      </c>
      <c r="AG14">
        <f t="shared" si="19"/>
        <v>0.48169188793559403</v>
      </c>
    </row>
    <row r="15" spans="1:33" x14ac:dyDescent="0.25">
      <c r="A15">
        <v>14</v>
      </c>
      <c r="B15">
        <v>355</v>
      </c>
      <c r="C15">
        <v>205</v>
      </c>
      <c r="D15">
        <v>0.5</v>
      </c>
      <c r="E15">
        <f t="shared" si="24"/>
        <v>5749.8960323625715</v>
      </c>
      <c r="F15">
        <v>110</v>
      </c>
      <c r="G15">
        <f t="shared" si="39"/>
        <v>150</v>
      </c>
      <c r="H15">
        <v>8</v>
      </c>
      <c r="I15">
        <f t="shared" si="25"/>
        <v>13.75</v>
      </c>
      <c r="J15">
        <f t="shared" si="26"/>
        <v>0.27092040405733725</v>
      </c>
      <c r="K15">
        <f t="shared" si="27"/>
        <v>0.55000000000000004</v>
      </c>
      <c r="L15">
        <f t="shared" si="28"/>
        <v>5.7498960323625719</v>
      </c>
      <c r="M15">
        <v>2.5</v>
      </c>
      <c r="N15">
        <f t="shared" si="29"/>
        <v>280</v>
      </c>
      <c r="O15">
        <f t="shared" si="30"/>
        <v>199500</v>
      </c>
      <c r="P15">
        <f t="shared" si="31"/>
        <v>3520</v>
      </c>
      <c r="Q15">
        <f t="shared" si="32"/>
        <v>804.24771931898704</v>
      </c>
      <c r="R15">
        <f t="shared" si="33"/>
        <v>4324.247719318987</v>
      </c>
      <c r="S15">
        <f t="shared" si="9"/>
        <v>14118333.707433984</v>
      </c>
      <c r="T15">
        <f t="shared" si="34"/>
        <v>57.139500414724267</v>
      </c>
      <c r="U15">
        <f t="shared" si="35"/>
        <v>100.62909179515475</v>
      </c>
      <c r="V15">
        <v>1.2</v>
      </c>
      <c r="W15">
        <f t="shared" si="36"/>
        <v>1210.7893614093164</v>
      </c>
      <c r="X15">
        <v>628.29999999999995</v>
      </c>
      <c r="Y15">
        <f t="shared" si="12"/>
        <v>0.51891767472145678</v>
      </c>
      <c r="Z15" t="str">
        <f t="shared" si="37"/>
        <v>LC-bn14</v>
      </c>
      <c r="AA15">
        <f t="shared" si="14"/>
        <v>490</v>
      </c>
      <c r="AB15">
        <f t="shared" si="40"/>
        <v>517.02058150931066</v>
      </c>
      <c r="AC15">
        <f t="shared" si="15"/>
        <v>519.7880493042129</v>
      </c>
      <c r="AD15">
        <f t="shared" si="16"/>
        <v>325.88344850615891</v>
      </c>
      <c r="AE15">
        <f t="shared" si="17"/>
        <v>410.71671135530755</v>
      </c>
      <c r="AF15">
        <f t="shared" si="38"/>
        <v>1315.9179783937009</v>
      </c>
      <c r="AG15">
        <f t="shared" si="19"/>
        <v>0.47746136941372724</v>
      </c>
    </row>
    <row r="16" spans="1:33" x14ac:dyDescent="0.25">
      <c r="A16">
        <v>15</v>
      </c>
      <c r="B16">
        <v>355</v>
      </c>
      <c r="C16">
        <v>205</v>
      </c>
      <c r="D16">
        <v>0.6</v>
      </c>
      <c r="E16">
        <f t="shared" si="24"/>
        <v>5891.1006907308247</v>
      </c>
      <c r="F16">
        <v>110</v>
      </c>
      <c r="G16">
        <f t="shared" si="39"/>
        <v>150</v>
      </c>
      <c r="H16">
        <v>8</v>
      </c>
      <c r="I16">
        <f t="shared" si="25"/>
        <v>13.75</v>
      </c>
      <c r="J16">
        <f t="shared" si="26"/>
        <v>0.26442667307085166</v>
      </c>
      <c r="K16">
        <f t="shared" si="27"/>
        <v>0.55000000000000004</v>
      </c>
      <c r="L16">
        <f t="shared" si="28"/>
        <v>5.8911006907308243</v>
      </c>
      <c r="M16">
        <v>2.5</v>
      </c>
      <c r="N16">
        <f t="shared" si="29"/>
        <v>265</v>
      </c>
      <c r="O16">
        <f t="shared" si="30"/>
        <v>198200</v>
      </c>
      <c r="P16">
        <f t="shared" si="31"/>
        <v>3520</v>
      </c>
      <c r="Q16">
        <f t="shared" si="32"/>
        <v>804.24771931898704</v>
      </c>
      <c r="R16">
        <f t="shared" si="33"/>
        <v>4324.247719318987</v>
      </c>
      <c r="S16">
        <f t="shared" si="9"/>
        <v>14118333.707433984</v>
      </c>
      <c r="T16">
        <f t="shared" si="34"/>
        <v>57.139500414724267</v>
      </c>
      <c r="U16">
        <f t="shared" si="35"/>
        <v>103.10031848323175</v>
      </c>
      <c r="V16">
        <v>1.2</v>
      </c>
      <c r="W16">
        <f t="shared" si="36"/>
        <v>1145.9256456195317</v>
      </c>
      <c r="X16">
        <v>595.9</v>
      </c>
      <c r="Y16">
        <f t="shared" si="12"/>
        <v>0.52001628751212159</v>
      </c>
      <c r="Z16" t="str">
        <f t="shared" si="37"/>
        <v>LC-bn15</v>
      </c>
      <c r="AA16">
        <f t="shared" si="14"/>
        <v>490</v>
      </c>
      <c r="AB16">
        <f t="shared" si="40"/>
        <v>517.02058150931066</v>
      </c>
      <c r="AC16">
        <f t="shared" si="15"/>
        <v>519.7880493042129</v>
      </c>
      <c r="AD16">
        <f t="shared" si="16"/>
        <v>325.88344850615891</v>
      </c>
      <c r="AE16">
        <f t="shared" si="17"/>
        <v>391.81101277749724</v>
      </c>
      <c r="AF16">
        <f t="shared" si="38"/>
        <v>1247.9131134303645</v>
      </c>
      <c r="AG16">
        <f t="shared" si="19"/>
        <v>0.47751721941757774</v>
      </c>
    </row>
    <row r="17" spans="1:33" x14ac:dyDescent="0.25">
      <c r="A17">
        <v>16</v>
      </c>
      <c r="B17">
        <v>355</v>
      </c>
      <c r="C17">
        <v>205</v>
      </c>
      <c r="D17">
        <v>0.7</v>
      </c>
      <c r="E17">
        <f t="shared" si="24"/>
        <v>6045.3355464789202</v>
      </c>
      <c r="F17">
        <v>110</v>
      </c>
      <c r="G17">
        <f t="shared" si="39"/>
        <v>150</v>
      </c>
      <c r="H17">
        <v>8</v>
      </c>
      <c r="I17">
        <f t="shared" si="25"/>
        <v>13.75</v>
      </c>
      <c r="J17">
        <f t="shared" si="26"/>
        <v>0.25768034617741953</v>
      </c>
      <c r="K17">
        <f t="shared" si="27"/>
        <v>0.55000000000000004</v>
      </c>
      <c r="L17">
        <f t="shared" si="28"/>
        <v>6.0453355464789205</v>
      </c>
      <c r="M17">
        <v>2.5</v>
      </c>
      <c r="N17">
        <f t="shared" si="29"/>
        <v>250</v>
      </c>
      <c r="O17">
        <f t="shared" si="30"/>
        <v>196900</v>
      </c>
      <c r="P17">
        <f t="shared" si="31"/>
        <v>3520</v>
      </c>
      <c r="Q17">
        <f t="shared" si="32"/>
        <v>804.24771931898704</v>
      </c>
      <c r="R17">
        <f t="shared" si="33"/>
        <v>4324.247719318987</v>
      </c>
      <c r="S17">
        <f t="shared" si="9"/>
        <v>14118333.707433984</v>
      </c>
      <c r="T17">
        <f t="shared" si="34"/>
        <v>57.139500414724267</v>
      </c>
      <c r="U17">
        <f t="shared" si="35"/>
        <v>105.79958702125963</v>
      </c>
      <c r="V17">
        <v>1.2</v>
      </c>
      <c r="W17">
        <f t="shared" si="36"/>
        <v>1081.0619298297468</v>
      </c>
      <c r="X17">
        <v>558.1</v>
      </c>
      <c r="Y17">
        <f t="shared" si="12"/>
        <v>0.51625164535013601</v>
      </c>
      <c r="Z17" t="str">
        <f t="shared" si="37"/>
        <v>LC-bn16</v>
      </c>
      <c r="AA17">
        <f t="shared" si="14"/>
        <v>490</v>
      </c>
      <c r="AB17">
        <f t="shared" si="40"/>
        <v>517.02058150931066</v>
      </c>
      <c r="AC17">
        <f t="shared" si="15"/>
        <v>519.7880493042129</v>
      </c>
      <c r="AD17">
        <f t="shared" si="16"/>
        <v>325.88344850615891</v>
      </c>
      <c r="AE17">
        <f t="shared" si="17"/>
        <v>373.87483720367732</v>
      </c>
      <c r="AF17">
        <f t="shared" si="38"/>
        <v>1180.6879851318151</v>
      </c>
      <c r="AG17">
        <f t="shared" si="19"/>
        <v>0.47269050505133431</v>
      </c>
    </row>
    <row r="18" spans="1:33" x14ac:dyDescent="0.25">
      <c r="A18">
        <v>17</v>
      </c>
      <c r="B18">
        <v>355</v>
      </c>
      <c r="C18">
        <v>205</v>
      </c>
      <c r="D18">
        <v>0.8</v>
      </c>
      <c r="E18">
        <f t="shared" si="24"/>
        <v>6214.6697032971097</v>
      </c>
      <c r="F18">
        <v>110</v>
      </c>
      <c r="G18">
        <f t="shared" si="39"/>
        <v>150</v>
      </c>
      <c r="H18">
        <v>8</v>
      </c>
      <c r="I18">
        <f t="shared" si="25"/>
        <v>13.75</v>
      </c>
      <c r="J18">
        <f t="shared" si="26"/>
        <v>0.25065920326367425</v>
      </c>
      <c r="K18">
        <f t="shared" si="27"/>
        <v>0.55000000000000004</v>
      </c>
      <c r="L18">
        <f t="shared" si="28"/>
        <v>6.2146697032971101</v>
      </c>
      <c r="M18">
        <v>2.5</v>
      </c>
      <c r="N18">
        <f t="shared" si="29"/>
        <v>235</v>
      </c>
      <c r="O18">
        <f t="shared" si="30"/>
        <v>195600</v>
      </c>
      <c r="P18">
        <f t="shared" si="31"/>
        <v>3520</v>
      </c>
      <c r="Q18">
        <f t="shared" si="32"/>
        <v>804.24771931898704</v>
      </c>
      <c r="R18">
        <f t="shared" si="33"/>
        <v>4324.247719318987</v>
      </c>
      <c r="S18">
        <f t="shared" si="9"/>
        <v>14118333.707433984</v>
      </c>
      <c r="T18">
        <f t="shared" si="34"/>
        <v>57.139500414724267</v>
      </c>
      <c r="U18">
        <f t="shared" si="35"/>
        <v>108.76310885097715</v>
      </c>
      <c r="V18">
        <v>1.2</v>
      </c>
      <c r="W18">
        <f t="shared" si="36"/>
        <v>1016.198214039962</v>
      </c>
      <c r="X18">
        <v>522.20000000000005</v>
      </c>
      <c r="Y18">
        <f t="shared" si="12"/>
        <v>0.51387612454460041</v>
      </c>
      <c r="Z18" t="str">
        <f t="shared" si="37"/>
        <v>LC-bn17</v>
      </c>
      <c r="AA18">
        <f t="shared" si="14"/>
        <v>490</v>
      </c>
      <c r="AB18">
        <f t="shared" si="40"/>
        <v>517.02058150931066</v>
      </c>
      <c r="AC18">
        <f t="shared" si="15"/>
        <v>519.7880493042129</v>
      </c>
      <c r="AD18">
        <f t="shared" si="16"/>
        <v>325.88344850615891</v>
      </c>
      <c r="AE18">
        <f t="shared" si="17"/>
        <v>356.90818463384755</v>
      </c>
      <c r="AF18">
        <f t="shared" si="38"/>
        <v>1114.242593498052</v>
      </c>
      <c r="AG18">
        <f t="shared" si="19"/>
        <v>0.46865916188018442</v>
      </c>
    </row>
    <row r="19" spans="1:33" x14ac:dyDescent="0.25">
      <c r="A19">
        <v>18</v>
      </c>
      <c r="B19">
        <v>355</v>
      </c>
      <c r="C19">
        <v>205</v>
      </c>
      <c r="D19">
        <v>0.9</v>
      </c>
      <c r="E19">
        <f t="shared" si="24"/>
        <v>6401.6601921712891</v>
      </c>
      <c r="F19">
        <v>110</v>
      </c>
      <c r="G19">
        <f t="shared" si="39"/>
        <v>150</v>
      </c>
      <c r="H19">
        <v>8</v>
      </c>
      <c r="I19">
        <f t="shared" si="25"/>
        <v>13.75</v>
      </c>
      <c r="J19">
        <f t="shared" si="26"/>
        <v>0.24333752645608511</v>
      </c>
      <c r="K19">
        <f t="shared" si="27"/>
        <v>0.55000000000000004</v>
      </c>
      <c r="L19">
        <f t="shared" si="28"/>
        <v>6.4016601921712892</v>
      </c>
      <c r="M19">
        <v>2.5</v>
      </c>
      <c r="N19">
        <f t="shared" si="29"/>
        <v>220</v>
      </c>
      <c r="O19">
        <f t="shared" si="30"/>
        <v>194300</v>
      </c>
      <c r="P19">
        <f t="shared" si="31"/>
        <v>3520</v>
      </c>
      <c r="Q19">
        <f t="shared" si="32"/>
        <v>804.24771931898704</v>
      </c>
      <c r="R19">
        <f t="shared" si="33"/>
        <v>4324.247719318987</v>
      </c>
      <c r="S19">
        <f t="shared" si="9"/>
        <v>14118333.707433984</v>
      </c>
      <c r="T19">
        <f t="shared" si="34"/>
        <v>57.139500414724267</v>
      </c>
      <c r="U19">
        <f t="shared" si="35"/>
        <v>112.03563464341467</v>
      </c>
      <c r="V19">
        <v>1.2</v>
      </c>
      <c r="W19">
        <f t="shared" si="36"/>
        <v>951.33449825017715</v>
      </c>
      <c r="X19">
        <v>485.6</v>
      </c>
      <c r="Y19">
        <f t="shared" si="12"/>
        <v>0.51044086059443983</v>
      </c>
      <c r="Z19" t="str">
        <f t="shared" si="37"/>
        <v>LC-bn18</v>
      </c>
      <c r="AA19">
        <f t="shared" si="14"/>
        <v>490</v>
      </c>
      <c r="AB19">
        <f>C19/(0.2+185*C19/193000)</f>
        <v>517.02058150931066</v>
      </c>
      <c r="AC19">
        <f t="shared" si="15"/>
        <v>519.7880493042129</v>
      </c>
      <c r="AD19">
        <f t="shared" si="16"/>
        <v>325.88344850615891</v>
      </c>
      <c r="AE19">
        <f t="shared" si="17"/>
        <v>340.91105506800812</v>
      </c>
      <c r="AF19">
        <f>(AE19*Q19+N19*P19)/1000</f>
        <v>1048.5769385290751</v>
      </c>
      <c r="AG19">
        <f t="shared" si="19"/>
        <v>0.46310383354529139</v>
      </c>
    </row>
    <row r="20" spans="1:33" x14ac:dyDescent="0.25">
      <c r="A20">
        <v>19</v>
      </c>
      <c r="B20">
        <v>355</v>
      </c>
      <c r="C20">
        <v>205</v>
      </c>
      <c r="D20">
        <v>0.1</v>
      </c>
      <c r="E20">
        <f t="shared" ref="E20:E28" si="41">U20*T20</f>
        <v>7928.267220488051</v>
      </c>
      <c r="F20">
        <v>110</v>
      </c>
      <c r="G20">
        <f>F20+2*H20*M20</f>
        <v>150</v>
      </c>
      <c r="H20">
        <v>8</v>
      </c>
      <c r="I20">
        <f t="shared" ref="I20:I28" si="42">F20/H20</f>
        <v>13.75</v>
      </c>
      <c r="J20">
        <f t="shared" ref="J20:J28" si="43">SQRT(12*(1-0.3^2)*I20^2*N20/(4*PI()^2*O20))</f>
        <v>0.2947234458148324</v>
      </c>
      <c r="K20">
        <f t="shared" ref="K20:K28" si="44">H20*I20/200</f>
        <v>0.55000000000000004</v>
      </c>
      <c r="L20">
        <f t="shared" si="28"/>
        <v>7.9282672204880509</v>
      </c>
      <c r="M20">
        <v>2.5</v>
      </c>
      <c r="N20">
        <f t="shared" ref="N20:N28" si="45">D20*C20+(1-D20)*B20</f>
        <v>340</v>
      </c>
      <c r="O20">
        <f t="shared" ref="O20:O28" si="46">193000*D20+(1-D20)*206000</f>
        <v>204700</v>
      </c>
      <c r="P20">
        <f t="shared" ref="P20:P28" si="47">H20*I20*H20*4</f>
        <v>3520</v>
      </c>
      <c r="Q20">
        <f t="shared" ref="Q20:Q28" si="48">PI()*(M20*H20)^2-PI()*((M20-1)*H20)^2</f>
        <v>804.24771931898704</v>
      </c>
      <c r="R20">
        <f t="shared" ref="R20:R28" si="49">P20+Q20</f>
        <v>4324.247719318987</v>
      </c>
      <c r="S20">
        <f t="shared" si="9"/>
        <v>14118333.707433984</v>
      </c>
      <c r="T20">
        <f t="shared" ref="T20:T28" si="50">SQRT(S20/R20)</f>
        <v>57.139500414724267</v>
      </c>
      <c r="U20">
        <f t="shared" ref="U20:U28" si="51">PI()*V20*SQRT(O20/N20)</f>
        <v>138.75282708010897</v>
      </c>
      <c r="V20">
        <v>1.8</v>
      </c>
      <c r="W20">
        <f t="shared" ref="W20:W28" si="52">R20*N20/1000</f>
        <v>1470.2442245684556</v>
      </c>
      <c r="X20">
        <v>397.5</v>
      </c>
      <c r="Y20">
        <f t="shared" si="12"/>
        <v>0.27036324534223133</v>
      </c>
      <c r="Z20" t="str">
        <f t="shared" ref="Z20:Z28" si="53">"LC-bn"&amp;A20</f>
        <v>LC-bn19</v>
      </c>
      <c r="AA20">
        <f t="shared" si="14"/>
        <v>490</v>
      </c>
      <c r="AB20">
        <f t="shared" ref="AB20:AB25" si="54">C20/(0.2+185*C20/193000)</f>
        <v>517.02058150931066</v>
      </c>
      <c r="AC20">
        <f t="shared" si="15"/>
        <v>519.7880493042129</v>
      </c>
      <c r="AD20">
        <f t="shared" si="16"/>
        <v>325.88344850615891</v>
      </c>
      <c r="AE20">
        <f t="shared" si="17"/>
        <v>496.03473570645127</v>
      </c>
      <c r="AF20">
        <f t="shared" ref="AF20:AF25" si="55">(AE20*Q20+N20*P20)/1000</f>
        <v>1595.73480489491</v>
      </c>
      <c r="AG20">
        <f t="shared" si="19"/>
        <v>0.24910154167263279</v>
      </c>
    </row>
    <row r="21" spans="1:33" x14ac:dyDescent="0.25">
      <c r="A21">
        <v>20</v>
      </c>
      <c r="B21">
        <v>355</v>
      </c>
      <c r="C21">
        <v>205</v>
      </c>
      <c r="D21">
        <v>0.2</v>
      </c>
      <c r="E21">
        <f t="shared" si="41"/>
        <v>8083.3728348396808</v>
      </c>
      <c r="F21">
        <v>110</v>
      </c>
      <c r="G21">
        <f t="shared" ref="G21:G28" si="56">F21+2*H21*M21</f>
        <v>150</v>
      </c>
      <c r="H21">
        <v>8</v>
      </c>
      <c r="I21">
        <f t="shared" si="42"/>
        <v>13.75</v>
      </c>
      <c r="J21">
        <f t="shared" si="43"/>
        <v>0.28906822465146947</v>
      </c>
      <c r="K21">
        <f t="shared" si="44"/>
        <v>0.55000000000000004</v>
      </c>
      <c r="L21">
        <f t="shared" si="28"/>
        <v>8.0833728348396807</v>
      </c>
      <c r="M21">
        <v>2.5</v>
      </c>
      <c r="N21">
        <f t="shared" si="45"/>
        <v>325</v>
      </c>
      <c r="O21">
        <f t="shared" si="46"/>
        <v>203400</v>
      </c>
      <c r="P21">
        <f t="shared" si="47"/>
        <v>3520</v>
      </c>
      <c r="Q21">
        <f t="shared" si="48"/>
        <v>804.24771931898704</v>
      </c>
      <c r="R21">
        <f t="shared" si="49"/>
        <v>4324.247719318987</v>
      </c>
      <c r="S21">
        <f t="shared" si="9"/>
        <v>14118333.707433984</v>
      </c>
      <c r="T21">
        <f t="shared" si="50"/>
        <v>57.139500414724267</v>
      </c>
      <c r="U21">
        <f t="shared" si="51"/>
        <v>141.46733478888936</v>
      </c>
      <c r="V21">
        <v>1.8</v>
      </c>
      <c r="W21">
        <f t="shared" si="52"/>
        <v>1405.3805087786709</v>
      </c>
      <c r="X21">
        <v>383</v>
      </c>
      <c r="Y21">
        <f t="shared" si="12"/>
        <v>0.27252405850771444</v>
      </c>
      <c r="Z21" t="str">
        <f t="shared" si="53"/>
        <v>LC-bn20</v>
      </c>
      <c r="AA21">
        <f t="shared" si="14"/>
        <v>490</v>
      </c>
      <c r="AB21">
        <f t="shared" si="54"/>
        <v>517.02058150931066</v>
      </c>
      <c r="AC21">
        <f t="shared" si="15"/>
        <v>519.7880493042129</v>
      </c>
      <c r="AD21">
        <f t="shared" si="16"/>
        <v>325.88344850615891</v>
      </c>
      <c r="AE21">
        <f t="shared" si="17"/>
        <v>473.25094511267991</v>
      </c>
      <c r="AF21">
        <f t="shared" si="55"/>
        <v>1524.610993272428</v>
      </c>
      <c r="AG21">
        <f t="shared" si="19"/>
        <v>0.25121162164646871</v>
      </c>
    </row>
    <row r="22" spans="1:33" x14ac:dyDescent="0.25">
      <c r="A22">
        <v>21</v>
      </c>
      <c r="B22">
        <v>355</v>
      </c>
      <c r="C22">
        <v>205</v>
      </c>
      <c r="D22">
        <v>0.3</v>
      </c>
      <c r="E22">
        <f t="shared" si="41"/>
        <v>8250.1363568296292</v>
      </c>
      <c r="F22">
        <v>110</v>
      </c>
      <c r="G22">
        <f t="shared" si="56"/>
        <v>150</v>
      </c>
      <c r="H22">
        <v>8</v>
      </c>
      <c r="I22">
        <f t="shared" si="42"/>
        <v>13.75</v>
      </c>
      <c r="J22">
        <f t="shared" si="43"/>
        <v>0.28322516543968385</v>
      </c>
      <c r="K22">
        <f t="shared" si="44"/>
        <v>0.55000000000000004</v>
      </c>
      <c r="L22">
        <f t="shared" si="28"/>
        <v>8.2501363568296284</v>
      </c>
      <c r="M22">
        <v>2.5</v>
      </c>
      <c r="N22">
        <f t="shared" si="45"/>
        <v>310</v>
      </c>
      <c r="O22">
        <f t="shared" si="46"/>
        <v>202100</v>
      </c>
      <c r="P22">
        <f t="shared" si="47"/>
        <v>3520</v>
      </c>
      <c r="Q22">
        <f t="shared" si="48"/>
        <v>804.24771931898704</v>
      </c>
      <c r="R22">
        <f t="shared" si="49"/>
        <v>4324.247719318987</v>
      </c>
      <c r="S22">
        <f t="shared" si="9"/>
        <v>14118333.707433984</v>
      </c>
      <c r="T22">
        <f t="shared" si="50"/>
        <v>57.139500414724267</v>
      </c>
      <c r="U22">
        <f t="shared" si="51"/>
        <v>144.38586786635</v>
      </c>
      <c r="V22">
        <v>1.8</v>
      </c>
      <c r="W22">
        <f t="shared" si="52"/>
        <v>1340.516792988886</v>
      </c>
      <c r="X22">
        <v>365.6</v>
      </c>
      <c r="Y22">
        <f t="shared" si="12"/>
        <v>0.27273063784963053</v>
      </c>
      <c r="Z22" t="str">
        <f t="shared" si="53"/>
        <v>LC-bn21</v>
      </c>
      <c r="AA22">
        <f t="shared" si="14"/>
        <v>490</v>
      </c>
      <c r="AB22">
        <f t="shared" si="54"/>
        <v>517.02058150931066</v>
      </c>
      <c r="AC22">
        <f t="shared" si="15"/>
        <v>519.7880493042129</v>
      </c>
      <c r="AD22">
        <f t="shared" si="16"/>
        <v>325.88344850615891</v>
      </c>
      <c r="AE22">
        <f t="shared" si="17"/>
        <v>451.43667752289889</v>
      </c>
      <c r="AF22">
        <f t="shared" si="55"/>
        <v>1454.2669183147323</v>
      </c>
      <c r="AG22">
        <f t="shared" si="19"/>
        <v>0.25139814114981945</v>
      </c>
    </row>
    <row r="23" spans="1:33" x14ac:dyDescent="0.25">
      <c r="A23">
        <v>22</v>
      </c>
      <c r="B23">
        <v>355</v>
      </c>
      <c r="C23">
        <v>205</v>
      </c>
      <c r="D23">
        <v>0.4</v>
      </c>
      <c r="E23">
        <f t="shared" si="41"/>
        <v>8430.0405363466452</v>
      </c>
      <c r="F23">
        <v>110</v>
      </c>
      <c r="G23">
        <f t="shared" si="56"/>
        <v>150</v>
      </c>
      <c r="H23">
        <v>8</v>
      </c>
      <c r="I23">
        <f t="shared" si="42"/>
        <v>13.75</v>
      </c>
      <c r="J23">
        <f t="shared" si="43"/>
        <v>0.27718090138338314</v>
      </c>
      <c r="K23">
        <f t="shared" si="44"/>
        <v>0.55000000000000004</v>
      </c>
      <c r="L23">
        <f t="shared" si="28"/>
        <v>8.4300405363466453</v>
      </c>
      <c r="M23">
        <v>2.5</v>
      </c>
      <c r="N23">
        <f t="shared" si="45"/>
        <v>295</v>
      </c>
      <c r="O23">
        <f t="shared" si="46"/>
        <v>200800</v>
      </c>
      <c r="P23">
        <f t="shared" si="47"/>
        <v>3520</v>
      </c>
      <c r="Q23">
        <f t="shared" si="48"/>
        <v>804.24771931898704</v>
      </c>
      <c r="R23">
        <f t="shared" si="49"/>
        <v>4324.247719318987</v>
      </c>
      <c r="S23">
        <f t="shared" si="9"/>
        <v>14118333.707433984</v>
      </c>
      <c r="T23">
        <f t="shared" si="50"/>
        <v>57.139500414724267</v>
      </c>
      <c r="U23">
        <f t="shared" si="51"/>
        <v>147.53437595989743</v>
      </c>
      <c r="V23">
        <v>1.8</v>
      </c>
      <c r="W23">
        <f t="shared" si="52"/>
        <v>1275.6530771991013</v>
      </c>
      <c r="X23">
        <v>347.6</v>
      </c>
      <c r="Y23">
        <f t="shared" si="12"/>
        <v>0.27248787794500601</v>
      </c>
      <c r="Z23" t="str">
        <f t="shared" si="53"/>
        <v>LC-bn22</v>
      </c>
      <c r="AA23">
        <f t="shared" si="14"/>
        <v>490</v>
      </c>
      <c r="AB23">
        <f t="shared" si="54"/>
        <v>517.02058150931066</v>
      </c>
      <c r="AC23">
        <f t="shared" si="15"/>
        <v>519.7880493042129</v>
      </c>
      <c r="AD23">
        <f t="shared" si="16"/>
        <v>325.88344850615891</v>
      </c>
      <c r="AE23">
        <f t="shared" si="17"/>
        <v>430.59193293710808</v>
      </c>
      <c r="AF23">
        <f t="shared" si="55"/>
        <v>1384.7025800218232</v>
      </c>
      <c r="AG23">
        <f t="shared" si="19"/>
        <v>0.25102863605159292</v>
      </c>
    </row>
    <row r="24" spans="1:33" x14ac:dyDescent="0.25">
      <c r="A24">
        <v>23</v>
      </c>
      <c r="B24">
        <v>355</v>
      </c>
      <c r="C24">
        <v>205</v>
      </c>
      <c r="D24">
        <v>0.5</v>
      </c>
      <c r="E24">
        <f t="shared" si="41"/>
        <v>8624.8440485438568</v>
      </c>
      <c r="F24">
        <v>110</v>
      </c>
      <c r="G24">
        <f t="shared" si="56"/>
        <v>150</v>
      </c>
      <c r="H24">
        <v>8</v>
      </c>
      <c r="I24">
        <f t="shared" si="42"/>
        <v>13.75</v>
      </c>
      <c r="J24">
        <f t="shared" si="43"/>
        <v>0.27092040405733725</v>
      </c>
      <c r="K24">
        <f t="shared" si="44"/>
        <v>0.55000000000000004</v>
      </c>
      <c r="L24">
        <f t="shared" si="28"/>
        <v>8.6248440485438564</v>
      </c>
      <c r="M24">
        <v>2.5</v>
      </c>
      <c r="N24">
        <f t="shared" si="45"/>
        <v>280</v>
      </c>
      <c r="O24">
        <f t="shared" si="46"/>
        <v>199500</v>
      </c>
      <c r="P24">
        <f t="shared" si="47"/>
        <v>3520</v>
      </c>
      <c r="Q24">
        <f t="shared" si="48"/>
        <v>804.24771931898704</v>
      </c>
      <c r="R24">
        <f t="shared" si="49"/>
        <v>4324.247719318987</v>
      </c>
      <c r="S24">
        <f t="shared" si="9"/>
        <v>14118333.707433984</v>
      </c>
      <c r="T24">
        <f t="shared" si="50"/>
        <v>57.139500414724267</v>
      </c>
      <c r="U24">
        <f t="shared" si="51"/>
        <v>150.94363769273212</v>
      </c>
      <c r="V24">
        <v>1.8</v>
      </c>
      <c r="W24">
        <f t="shared" si="52"/>
        <v>1210.7893614093164</v>
      </c>
      <c r="X24">
        <v>329</v>
      </c>
      <c r="Y24">
        <f t="shared" si="12"/>
        <v>0.2717235635577897</v>
      </c>
      <c r="Z24" t="str">
        <f t="shared" si="53"/>
        <v>LC-bn23</v>
      </c>
      <c r="AA24">
        <f t="shared" si="14"/>
        <v>490</v>
      </c>
      <c r="AB24">
        <f t="shared" si="54"/>
        <v>517.02058150931066</v>
      </c>
      <c r="AC24">
        <f t="shared" si="15"/>
        <v>519.7880493042129</v>
      </c>
      <c r="AD24">
        <f t="shared" si="16"/>
        <v>325.88344850615891</v>
      </c>
      <c r="AE24">
        <f t="shared" si="17"/>
        <v>410.71671135530755</v>
      </c>
      <c r="AF24">
        <f t="shared" si="55"/>
        <v>1315.9179783937009</v>
      </c>
      <c r="AG24">
        <f t="shared" si="19"/>
        <v>0.250015582583346</v>
      </c>
    </row>
    <row r="25" spans="1:33" x14ac:dyDescent="0.25">
      <c r="A25">
        <v>24</v>
      </c>
      <c r="B25">
        <v>355</v>
      </c>
      <c r="C25">
        <v>205</v>
      </c>
      <c r="D25">
        <v>0.6</v>
      </c>
      <c r="E25">
        <f t="shared" si="41"/>
        <v>8836.6510360962366</v>
      </c>
      <c r="F25">
        <v>110</v>
      </c>
      <c r="G25">
        <f t="shared" si="56"/>
        <v>150</v>
      </c>
      <c r="H25">
        <v>8</v>
      </c>
      <c r="I25">
        <f t="shared" si="42"/>
        <v>13.75</v>
      </c>
      <c r="J25">
        <f t="shared" si="43"/>
        <v>0.26442667307085166</v>
      </c>
      <c r="K25">
        <f t="shared" si="44"/>
        <v>0.55000000000000004</v>
      </c>
      <c r="L25">
        <f t="shared" si="28"/>
        <v>8.8366510360962369</v>
      </c>
      <c r="M25">
        <v>2.5</v>
      </c>
      <c r="N25">
        <f t="shared" si="45"/>
        <v>265</v>
      </c>
      <c r="O25">
        <f t="shared" si="46"/>
        <v>198200</v>
      </c>
      <c r="P25">
        <f t="shared" si="47"/>
        <v>3520</v>
      </c>
      <c r="Q25">
        <f t="shared" si="48"/>
        <v>804.24771931898704</v>
      </c>
      <c r="R25">
        <f t="shared" si="49"/>
        <v>4324.247719318987</v>
      </c>
      <c r="S25">
        <f t="shared" si="9"/>
        <v>14118333.707433984</v>
      </c>
      <c r="T25">
        <f t="shared" si="50"/>
        <v>57.139500414724267</v>
      </c>
      <c r="U25">
        <f t="shared" si="51"/>
        <v>154.6504777248476</v>
      </c>
      <c r="V25">
        <v>1.8</v>
      </c>
      <c r="W25">
        <f t="shared" si="52"/>
        <v>1145.9256456195317</v>
      </c>
      <c r="X25">
        <v>310.89999999999998</v>
      </c>
      <c r="Y25">
        <f t="shared" si="12"/>
        <v>0.27130905149776574</v>
      </c>
      <c r="Z25" t="str">
        <f t="shared" si="53"/>
        <v>LC-bn24</v>
      </c>
      <c r="AA25">
        <f t="shared" si="14"/>
        <v>490</v>
      </c>
      <c r="AB25">
        <f t="shared" si="54"/>
        <v>517.02058150931066</v>
      </c>
      <c r="AC25">
        <f t="shared" si="15"/>
        <v>519.7880493042129</v>
      </c>
      <c r="AD25">
        <f t="shared" si="16"/>
        <v>325.88344850615891</v>
      </c>
      <c r="AE25">
        <f t="shared" si="17"/>
        <v>391.81101277749724</v>
      </c>
      <c r="AF25">
        <f t="shared" si="55"/>
        <v>1247.9131134303645</v>
      </c>
      <c r="AG25">
        <f t="shared" si="19"/>
        <v>0.24913593474899298</v>
      </c>
    </row>
    <row r="26" spans="1:33" x14ac:dyDescent="0.25">
      <c r="A26">
        <v>25</v>
      </c>
      <c r="B26">
        <v>355</v>
      </c>
      <c r="C26">
        <v>205</v>
      </c>
      <c r="D26">
        <v>0.7</v>
      </c>
      <c r="E26">
        <f t="shared" si="41"/>
        <v>9068.003319718382</v>
      </c>
      <c r="F26">
        <v>110</v>
      </c>
      <c r="G26">
        <f t="shared" si="56"/>
        <v>150</v>
      </c>
      <c r="H26">
        <v>8</v>
      </c>
      <c r="I26">
        <f t="shared" si="42"/>
        <v>13.75</v>
      </c>
      <c r="J26">
        <f t="shared" si="43"/>
        <v>0.25768034617741953</v>
      </c>
      <c r="K26">
        <f t="shared" si="44"/>
        <v>0.55000000000000004</v>
      </c>
      <c r="L26">
        <f t="shared" si="28"/>
        <v>9.0680033197183825</v>
      </c>
      <c r="M26">
        <v>2.5</v>
      </c>
      <c r="N26">
        <f t="shared" si="45"/>
        <v>250</v>
      </c>
      <c r="O26">
        <f t="shared" si="46"/>
        <v>196900</v>
      </c>
      <c r="P26">
        <f t="shared" si="47"/>
        <v>3520</v>
      </c>
      <c r="Q26">
        <f t="shared" si="48"/>
        <v>804.24771931898704</v>
      </c>
      <c r="R26">
        <f t="shared" si="49"/>
        <v>4324.247719318987</v>
      </c>
      <c r="S26">
        <f t="shared" si="9"/>
        <v>14118333.707433984</v>
      </c>
      <c r="T26">
        <f t="shared" si="50"/>
        <v>57.139500414724267</v>
      </c>
      <c r="U26">
        <f t="shared" si="51"/>
        <v>158.69938053188946</v>
      </c>
      <c r="V26">
        <v>1.8</v>
      </c>
      <c r="W26">
        <f t="shared" si="52"/>
        <v>1081.0619298297468</v>
      </c>
      <c r="X26">
        <v>292.2</v>
      </c>
      <c r="Y26">
        <f t="shared" si="12"/>
        <v>0.27028978815859117</v>
      </c>
      <c r="Z26" t="str">
        <f t="shared" si="53"/>
        <v>LC-bn25</v>
      </c>
      <c r="AA26">
        <f t="shared" si="14"/>
        <v>490</v>
      </c>
      <c r="AB26">
        <f>C26/(0.2+185*C26/193000)</f>
        <v>517.02058150931066</v>
      </c>
      <c r="AC26">
        <f t="shared" si="15"/>
        <v>519.7880493042129</v>
      </c>
      <c r="AD26">
        <f t="shared" si="16"/>
        <v>325.88344850615891</v>
      </c>
      <c r="AE26">
        <f t="shared" si="17"/>
        <v>373.87483720367732</v>
      </c>
      <c r="AF26">
        <f>(AE26*Q26+N26*P26)/1000</f>
        <v>1180.6879851318151</v>
      </c>
      <c r="AG26">
        <f t="shared" si="19"/>
        <v>0.24748282669055705</v>
      </c>
    </row>
    <row r="27" spans="1:33" x14ac:dyDescent="0.25">
      <c r="A27">
        <v>26</v>
      </c>
      <c r="B27">
        <v>355</v>
      </c>
      <c r="C27">
        <v>205</v>
      </c>
      <c r="D27">
        <v>0.8</v>
      </c>
      <c r="E27">
        <f t="shared" si="41"/>
        <v>9322.0045549456627</v>
      </c>
      <c r="F27">
        <v>110</v>
      </c>
      <c r="G27">
        <f t="shared" si="56"/>
        <v>150</v>
      </c>
      <c r="H27">
        <v>8</v>
      </c>
      <c r="I27">
        <f t="shared" si="42"/>
        <v>13.75</v>
      </c>
      <c r="J27">
        <f t="shared" si="43"/>
        <v>0.25065920326367425</v>
      </c>
      <c r="K27">
        <f t="shared" si="44"/>
        <v>0.55000000000000004</v>
      </c>
      <c r="L27">
        <f t="shared" si="28"/>
        <v>9.3220045549456625</v>
      </c>
      <c r="M27">
        <v>2.5</v>
      </c>
      <c r="N27">
        <f t="shared" si="45"/>
        <v>235</v>
      </c>
      <c r="O27">
        <f t="shared" si="46"/>
        <v>195600</v>
      </c>
      <c r="P27">
        <f t="shared" si="47"/>
        <v>3520</v>
      </c>
      <c r="Q27">
        <f t="shared" si="48"/>
        <v>804.24771931898704</v>
      </c>
      <c r="R27">
        <f t="shared" si="49"/>
        <v>4324.247719318987</v>
      </c>
      <c r="S27">
        <f t="shared" si="9"/>
        <v>14118333.707433984</v>
      </c>
      <c r="T27">
        <f t="shared" si="50"/>
        <v>57.139500414724267</v>
      </c>
      <c r="U27">
        <f t="shared" si="51"/>
        <v>163.14466327646571</v>
      </c>
      <c r="V27">
        <v>1.8</v>
      </c>
      <c r="W27">
        <f t="shared" si="52"/>
        <v>1016.198214039962</v>
      </c>
      <c r="X27">
        <v>273.89999999999998</v>
      </c>
      <c r="Y27">
        <f t="shared" si="12"/>
        <v>0.26953403008955579</v>
      </c>
      <c r="Z27" t="str">
        <f t="shared" si="53"/>
        <v>LC-bn26</v>
      </c>
      <c r="AA27">
        <f t="shared" si="14"/>
        <v>490</v>
      </c>
      <c r="AB27">
        <f>C27/(0.2+185*C27/193000)</f>
        <v>517.02058150931066</v>
      </c>
      <c r="AC27">
        <f t="shared" si="15"/>
        <v>519.7880493042129</v>
      </c>
      <c r="AD27">
        <f t="shared" si="16"/>
        <v>325.88344850615891</v>
      </c>
      <c r="AE27">
        <f t="shared" si="17"/>
        <v>356.90818463384755</v>
      </c>
      <c r="AF27">
        <f t="shared" ref="AF27:AF28" si="57">(AE27*Q27+N27*P27)/1000</f>
        <v>1114.242593498052</v>
      </c>
      <c r="AG27">
        <f t="shared" si="19"/>
        <v>0.24581720497698675</v>
      </c>
    </row>
    <row r="28" spans="1:33" x14ac:dyDescent="0.25">
      <c r="A28">
        <v>27</v>
      </c>
      <c r="B28">
        <v>355</v>
      </c>
      <c r="C28">
        <v>205</v>
      </c>
      <c r="D28">
        <v>0.9</v>
      </c>
      <c r="E28">
        <f t="shared" si="41"/>
        <v>9602.4902882569331</v>
      </c>
      <c r="F28">
        <v>110</v>
      </c>
      <c r="G28">
        <f t="shared" si="56"/>
        <v>150</v>
      </c>
      <c r="H28">
        <v>8</v>
      </c>
      <c r="I28">
        <f t="shared" si="42"/>
        <v>13.75</v>
      </c>
      <c r="J28">
        <f t="shared" si="43"/>
        <v>0.24333752645608511</v>
      </c>
      <c r="K28">
        <f t="shared" si="44"/>
        <v>0.55000000000000004</v>
      </c>
      <c r="L28">
        <f t="shared" si="28"/>
        <v>9.6024902882569325</v>
      </c>
      <c r="M28">
        <v>2.5</v>
      </c>
      <c r="N28">
        <f t="shared" si="45"/>
        <v>220</v>
      </c>
      <c r="O28">
        <f t="shared" si="46"/>
        <v>194300</v>
      </c>
      <c r="P28">
        <f t="shared" si="47"/>
        <v>3520</v>
      </c>
      <c r="Q28">
        <f t="shared" si="48"/>
        <v>804.24771931898704</v>
      </c>
      <c r="R28">
        <f t="shared" si="49"/>
        <v>4324.247719318987</v>
      </c>
      <c r="S28">
        <f t="shared" si="9"/>
        <v>14118333.707433984</v>
      </c>
      <c r="T28">
        <f t="shared" si="50"/>
        <v>57.139500414724267</v>
      </c>
      <c r="U28">
        <f t="shared" si="51"/>
        <v>168.05345196512201</v>
      </c>
      <c r="V28">
        <v>1.8</v>
      </c>
      <c r="W28">
        <f t="shared" si="52"/>
        <v>951.33449825017715</v>
      </c>
      <c r="X28">
        <v>255.2</v>
      </c>
      <c r="Y28">
        <f t="shared" si="12"/>
        <v>0.26825475210811578</v>
      </c>
      <c r="Z28" t="str">
        <f t="shared" si="53"/>
        <v>LC-bn27</v>
      </c>
      <c r="AA28">
        <f t="shared" si="14"/>
        <v>490</v>
      </c>
      <c r="AB28">
        <f>C28/(0.2+185*C28/193000)</f>
        <v>517.02058150931066</v>
      </c>
      <c r="AC28">
        <f t="shared" si="15"/>
        <v>519.7880493042129</v>
      </c>
      <c r="AD28">
        <f t="shared" si="16"/>
        <v>325.88344850615891</v>
      </c>
      <c r="AE28">
        <f t="shared" si="17"/>
        <v>340.91105506800812</v>
      </c>
      <c r="AF28">
        <f t="shared" si="57"/>
        <v>1048.5769385290751</v>
      </c>
      <c r="AG28">
        <f t="shared" si="19"/>
        <v>0.24337746771161112</v>
      </c>
    </row>
    <row r="29" spans="1:33" x14ac:dyDescent="0.25">
      <c r="A29">
        <v>28</v>
      </c>
      <c r="B29">
        <v>355</v>
      </c>
      <c r="C29">
        <v>205</v>
      </c>
      <c r="D29">
        <v>0.1</v>
      </c>
      <c r="E29">
        <f t="shared" ref="E29:E37" si="58">U29*T29</f>
        <v>10571.022960650735</v>
      </c>
      <c r="F29">
        <v>110</v>
      </c>
      <c r="G29">
        <f>F29+2*H29*M29</f>
        <v>150</v>
      </c>
      <c r="H29">
        <v>8</v>
      </c>
      <c r="I29">
        <f t="shared" ref="I29:I37" si="59">F29/H29</f>
        <v>13.75</v>
      </c>
      <c r="J29">
        <f t="shared" ref="J29:J37" si="60">SQRT(12*(1-0.3^2)*I29^2*N29/(4*PI()^2*O29))</f>
        <v>0.2947234458148324</v>
      </c>
      <c r="K29">
        <f t="shared" ref="K29:K37" si="61">H29*I29/200</f>
        <v>0.55000000000000004</v>
      </c>
      <c r="L29">
        <f t="shared" ref="L29:L37" si="62">E29/1000</f>
        <v>10.571022960650735</v>
      </c>
      <c r="M29">
        <v>2.5</v>
      </c>
      <c r="N29">
        <f t="shared" ref="N29:N37" si="63">D29*C29+(1-D29)*B29</f>
        <v>340</v>
      </c>
      <c r="O29">
        <f t="shared" ref="O29:O37" si="64">193000*D29+(1-D29)*206000</f>
        <v>204700</v>
      </c>
      <c r="P29">
        <f t="shared" ref="P29:P37" si="65">H29*I29*H29*4</f>
        <v>3520</v>
      </c>
      <c r="Q29">
        <f t="shared" ref="Q29:Q37" si="66">PI()*(M29*H29)^2-PI()*((M29-1)*H29)^2</f>
        <v>804.24771931898704</v>
      </c>
      <c r="R29">
        <f t="shared" ref="R29:R37" si="67">P29+Q29</f>
        <v>4324.247719318987</v>
      </c>
      <c r="S29">
        <f t="shared" si="9"/>
        <v>14118333.707433984</v>
      </c>
      <c r="T29">
        <f t="shared" ref="T29:T37" si="68">SQRT(S29/R29)</f>
        <v>57.139500414724267</v>
      </c>
      <c r="U29">
        <f t="shared" ref="U29:U37" si="69">PI()*V29*SQRT(O29/N29)</f>
        <v>185.00376944014531</v>
      </c>
      <c r="V29">
        <v>2.4</v>
      </c>
      <c r="W29">
        <f t="shared" ref="W29:W37" si="70">R29*N29/1000</f>
        <v>1470.2442245684556</v>
      </c>
      <c r="X29">
        <v>233.9</v>
      </c>
      <c r="Y29">
        <f t="shared" si="12"/>
        <v>0.15908921530955447</v>
      </c>
      <c r="Z29" t="str">
        <f t="shared" ref="Z29:Z37" si="71">"LC-bn"&amp;A29</f>
        <v>LC-bn28</v>
      </c>
      <c r="AA29">
        <f t="shared" si="14"/>
        <v>490</v>
      </c>
      <c r="AB29">
        <f>C29/(0.2+185*C29/193000)</f>
        <v>517.02058150931066</v>
      </c>
      <c r="AC29">
        <f t="shared" si="15"/>
        <v>519.7880493042129</v>
      </c>
      <c r="AD29">
        <f t="shared" si="16"/>
        <v>325.88344850615891</v>
      </c>
      <c r="AE29">
        <f t="shared" si="17"/>
        <v>496.03473570645127</v>
      </c>
      <c r="AF29">
        <f t="shared" ref="AF29:AF37" si="72">(AE29*Q29+N29*P29)/1000</f>
        <v>1595.73480489491</v>
      </c>
      <c r="AG29">
        <f t="shared" si="19"/>
        <v>0.14657824049617313</v>
      </c>
    </row>
    <row r="30" spans="1:33" x14ac:dyDescent="0.25">
      <c r="A30">
        <v>29</v>
      </c>
      <c r="B30">
        <v>355</v>
      </c>
      <c r="C30">
        <v>205</v>
      </c>
      <c r="D30">
        <v>0.2</v>
      </c>
      <c r="E30">
        <f t="shared" si="58"/>
        <v>10777.830446452906</v>
      </c>
      <c r="F30">
        <v>110</v>
      </c>
      <c r="G30">
        <f t="shared" ref="G30:G37" si="73">F30+2*H30*M30</f>
        <v>150</v>
      </c>
      <c r="H30">
        <v>8</v>
      </c>
      <c r="I30">
        <f t="shared" si="59"/>
        <v>13.75</v>
      </c>
      <c r="J30">
        <f t="shared" si="60"/>
        <v>0.28906822465146947</v>
      </c>
      <c r="K30">
        <f t="shared" si="61"/>
        <v>0.55000000000000004</v>
      </c>
      <c r="L30">
        <f t="shared" si="62"/>
        <v>10.777830446452906</v>
      </c>
      <c r="M30">
        <v>2.5</v>
      </c>
      <c r="N30">
        <f t="shared" si="63"/>
        <v>325</v>
      </c>
      <c r="O30">
        <f t="shared" si="64"/>
        <v>203400</v>
      </c>
      <c r="P30">
        <f t="shared" si="65"/>
        <v>3520</v>
      </c>
      <c r="Q30">
        <f t="shared" si="66"/>
        <v>804.24771931898704</v>
      </c>
      <c r="R30">
        <f t="shared" si="67"/>
        <v>4324.247719318987</v>
      </c>
      <c r="S30">
        <f t="shared" si="9"/>
        <v>14118333.707433984</v>
      </c>
      <c r="T30">
        <f t="shared" si="68"/>
        <v>57.139500414724267</v>
      </c>
      <c r="U30">
        <f t="shared" si="69"/>
        <v>188.62311305185247</v>
      </c>
      <c r="V30">
        <v>2.4</v>
      </c>
      <c r="W30">
        <f t="shared" si="70"/>
        <v>1405.3805087786709</v>
      </c>
      <c r="X30">
        <v>224.6</v>
      </c>
      <c r="Y30">
        <f t="shared" si="12"/>
        <v>0.15981436955830983</v>
      </c>
      <c r="Z30" t="str">
        <f t="shared" si="71"/>
        <v>LC-bn29</v>
      </c>
      <c r="AA30">
        <f t="shared" si="14"/>
        <v>490</v>
      </c>
      <c r="AB30">
        <f>C30/(0.2+185*C30/193000)</f>
        <v>517.02058150931066</v>
      </c>
      <c r="AC30">
        <f t="shared" si="15"/>
        <v>519.7880493042129</v>
      </c>
      <c r="AD30">
        <f t="shared" si="16"/>
        <v>325.88344850615891</v>
      </c>
      <c r="AE30">
        <f t="shared" si="17"/>
        <v>473.25094511267991</v>
      </c>
      <c r="AF30">
        <f t="shared" si="72"/>
        <v>1524.610993272428</v>
      </c>
      <c r="AG30">
        <f t="shared" si="19"/>
        <v>0.14731626689764193</v>
      </c>
    </row>
    <row r="31" spans="1:33" x14ac:dyDescent="0.25">
      <c r="A31">
        <v>30</v>
      </c>
      <c r="B31">
        <v>355</v>
      </c>
      <c r="C31">
        <v>205</v>
      </c>
      <c r="D31">
        <v>0.3</v>
      </c>
      <c r="E31">
        <f t="shared" si="58"/>
        <v>11000.181809106172</v>
      </c>
      <c r="F31">
        <v>110</v>
      </c>
      <c r="G31">
        <f t="shared" si="73"/>
        <v>150</v>
      </c>
      <c r="H31">
        <v>8</v>
      </c>
      <c r="I31">
        <f t="shared" si="59"/>
        <v>13.75</v>
      </c>
      <c r="J31">
        <f t="shared" si="60"/>
        <v>0.28322516543968385</v>
      </c>
      <c r="K31">
        <f t="shared" si="61"/>
        <v>0.55000000000000004</v>
      </c>
      <c r="L31">
        <f t="shared" si="62"/>
        <v>11.000181809106172</v>
      </c>
      <c r="M31">
        <v>2.5</v>
      </c>
      <c r="N31">
        <f t="shared" si="63"/>
        <v>310</v>
      </c>
      <c r="O31">
        <f t="shared" si="64"/>
        <v>202100</v>
      </c>
      <c r="P31">
        <f t="shared" si="65"/>
        <v>3520</v>
      </c>
      <c r="Q31">
        <f t="shared" si="66"/>
        <v>804.24771931898704</v>
      </c>
      <c r="R31">
        <f t="shared" si="67"/>
        <v>4324.247719318987</v>
      </c>
      <c r="S31">
        <f t="shared" si="9"/>
        <v>14118333.707433984</v>
      </c>
      <c r="T31">
        <f t="shared" si="68"/>
        <v>57.139500414724267</v>
      </c>
      <c r="U31">
        <f t="shared" si="69"/>
        <v>192.51449048846666</v>
      </c>
      <c r="V31">
        <v>2.4</v>
      </c>
      <c r="W31">
        <f t="shared" si="70"/>
        <v>1340.516792988886</v>
      </c>
      <c r="X31">
        <v>214.3</v>
      </c>
      <c r="Y31">
        <f t="shared" si="12"/>
        <v>0.15986371906776758</v>
      </c>
      <c r="Z31" t="str">
        <f t="shared" si="71"/>
        <v>LC-bn30</v>
      </c>
      <c r="AA31">
        <f t="shared" si="14"/>
        <v>490</v>
      </c>
      <c r="AB31">
        <f t="shared" ref="AB31:AB37" si="74">C31/(0.2+185*C31/193000)</f>
        <v>517.02058150931066</v>
      </c>
      <c r="AC31">
        <f t="shared" si="15"/>
        <v>519.7880493042129</v>
      </c>
      <c r="AD31">
        <f t="shared" si="16"/>
        <v>325.88344850615891</v>
      </c>
      <c r="AE31">
        <f t="shared" si="17"/>
        <v>451.43667752289889</v>
      </c>
      <c r="AF31">
        <f t="shared" si="72"/>
        <v>1454.2669183147323</v>
      </c>
      <c r="AG31">
        <f t="shared" si="19"/>
        <v>0.14735946840373718</v>
      </c>
    </row>
    <row r="32" spans="1:33" x14ac:dyDescent="0.25">
      <c r="A32">
        <v>31</v>
      </c>
      <c r="B32">
        <v>355</v>
      </c>
      <c r="C32">
        <v>205</v>
      </c>
      <c r="D32">
        <v>0.4</v>
      </c>
      <c r="E32">
        <f t="shared" si="58"/>
        <v>11240.054048462194</v>
      </c>
      <c r="F32">
        <v>110</v>
      </c>
      <c r="G32">
        <f t="shared" si="73"/>
        <v>150</v>
      </c>
      <c r="H32">
        <v>8</v>
      </c>
      <c r="I32">
        <f t="shared" si="59"/>
        <v>13.75</v>
      </c>
      <c r="J32">
        <f t="shared" si="60"/>
        <v>0.27718090138338314</v>
      </c>
      <c r="K32">
        <f t="shared" si="61"/>
        <v>0.55000000000000004</v>
      </c>
      <c r="L32">
        <f t="shared" si="62"/>
        <v>11.240054048462195</v>
      </c>
      <c r="M32">
        <v>2.5</v>
      </c>
      <c r="N32">
        <f t="shared" si="63"/>
        <v>295</v>
      </c>
      <c r="O32">
        <f t="shared" si="64"/>
        <v>200800</v>
      </c>
      <c r="P32">
        <f t="shared" si="65"/>
        <v>3520</v>
      </c>
      <c r="Q32">
        <f t="shared" si="66"/>
        <v>804.24771931898704</v>
      </c>
      <c r="R32">
        <f t="shared" si="67"/>
        <v>4324.247719318987</v>
      </c>
      <c r="S32">
        <f t="shared" si="9"/>
        <v>14118333.707433984</v>
      </c>
      <c r="T32">
        <f t="shared" si="68"/>
        <v>57.139500414724267</v>
      </c>
      <c r="U32">
        <f t="shared" si="69"/>
        <v>196.71250127986326</v>
      </c>
      <c r="V32">
        <v>2.4</v>
      </c>
      <c r="W32">
        <f t="shared" si="70"/>
        <v>1275.6530771991013</v>
      </c>
      <c r="X32">
        <v>203.7</v>
      </c>
      <c r="Y32">
        <f t="shared" si="12"/>
        <v>0.1596829135138024</v>
      </c>
      <c r="Z32" t="str">
        <f t="shared" si="71"/>
        <v>LC-bn31</v>
      </c>
      <c r="AA32">
        <f t="shared" si="14"/>
        <v>490</v>
      </c>
      <c r="AB32">
        <f t="shared" si="74"/>
        <v>517.02058150931066</v>
      </c>
      <c r="AC32">
        <f t="shared" si="15"/>
        <v>519.7880493042129</v>
      </c>
      <c r="AD32">
        <f t="shared" si="16"/>
        <v>325.88344850615891</v>
      </c>
      <c r="AE32">
        <f t="shared" si="17"/>
        <v>430.59193293710808</v>
      </c>
      <c r="AF32">
        <f t="shared" si="72"/>
        <v>1384.7025800218232</v>
      </c>
      <c r="AG32">
        <f t="shared" si="19"/>
        <v>0.14710740265739206</v>
      </c>
    </row>
    <row r="33" spans="1:33" x14ac:dyDescent="0.25">
      <c r="A33">
        <v>32</v>
      </c>
      <c r="B33">
        <v>355</v>
      </c>
      <c r="C33">
        <v>205</v>
      </c>
      <c r="D33">
        <v>0.5</v>
      </c>
      <c r="E33">
        <f t="shared" si="58"/>
        <v>11499.792064725143</v>
      </c>
      <c r="F33">
        <v>110</v>
      </c>
      <c r="G33">
        <f t="shared" si="73"/>
        <v>150</v>
      </c>
      <c r="H33">
        <v>8</v>
      </c>
      <c r="I33">
        <f t="shared" si="59"/>
        <v>13.75</v>
      </c>
      <c r="J33">
        <f t="shared" si="60"/>
        <v>0.27092040405733725</v>
      </c>
      <c r="K33">
        <f t="shared" si="61"/>
        <v>0.55000000000000004</v>
      </c>
      <c r="L33">
        <f t="shared" si="62"/>
        <v>11.499792064725144</v>
      </c>
      <c r="M33">
        <v>2.5</v>
      </c>
      <c r="N33">
        <f t="shared" si="63"/>
        <v>280</v>
      </c>
      <c r="O33">
        <f t="shared" si="64"/>
        <v>199500</v>
      </c>
      <c r="P33">
        <f t="shared" si="65"/>
        <v>3520</v>
      </c>
      <c r="Q33">
        <f t="shared" si="66"/>
        <v>804.24771931898704</v>
      </c>
      <c r="R33">
        <f t="shared" si="67"/>
        <v>4324.247719318987</v>
      </c>
      <c r="S33">
        <f t="shared" si="9"/>
        <v>14118333.707433984</v>
      </c>
      <c r="T33">
        <f t="shared" si="68"/>
        <v>57.139500414724267</v>
      </c>
      <c r="U33">
        <f t="shared" si="69"/>
        <v>201.2581835903095</v>
      </c>
      <c r="V33">
        <v>2.4</v>
      </c>
      <c r="W33">
        <f t="shared" si="70"/>
        <v>1210.7893614093164</v>
      </c>
      <c r="X33">
        <v>193.1</v>
      </c>
      <c r="Y33">
        <f t="shared" si="12"/>
        <v>0.15948273593619816</v>
      </c>
      <c r="Z33" t="str">
        <f t="shared" si="71"/>
        <v>LC-bn32</v>
      </c>
      <c r="AA33">
        <f t="shared" si="14"/>
        <v>490</v>
      </c>
      <c r="AB33">
        <f t="shared" si="74"/>
        <v>517.02058150931066</v>
      </c>
      <c r="AC33">
        <f t="shared" si="15"/>
        <v>519.7880493042129</v>
      </c>
      <c r="AD33">
        <f t="shared" si="16"/>
        <v>325.88344850615891</v>
      </c>
      <c r="AE33">
        <f t="shared" si="17"/>
        <v>410.71671135530755</v>
      </c>
      <c r="AF33">
        <f t="shared" si="72"/>
        <v>1315.9179783937009</v>
      </c>
      <c r="AG33">
        <f t="shared" si="19"/>
        <v>0.14674166868341673</v>
      </c>
    </row>
    <row r="34" spans="1:33" x14ac:dyDescent="0.25">
      <c r="A34">
        <v>33</v>
      </c>
      <c r="B34">
        <v>355</v>
      </c>
      <c r="C34">
        <v>205</v>
      </c>
      <c r="D34">
        <v>0.6</v>
      </c>
      <c r="E34">
        <f t="shared" si="58"/>
        <v>11782.201381461649</v>
      </c>
      <c r="F34">
        <v>110</v>
      </c>
      <c r="G34">
        <f t="shared" si="73"/>
        <v>150</v>
      </c>
      <c r="H34">
        <v>8</v>
      </c>
      <c r="I34">
        <f t="shared" si="59"/>
        <v>13.75</v>
      </c>
      <c r="J34">
        <f t="shared" si="60"/>
        <v>0.26442667307085166</v>
      </c>
      <c r="K34">
        <f t="shared" si="61"/>
        <v>0.55000000000000004</v>
      </c>
      <c r="L34">
        <f t="shared" si="62"/>
        <v>11.782201381461649</v>
      </c>
      <c r="M34">
        <v>2.5</v>
      </c>
      <c r="N34">
        <f t="shared" si="63"/>
        <v>265</v>
      </c>
      <c r="O34">
        <f t="shared" si="64"/>
        <v>198200</v>
      </c>
      <c r="P34">
        <f t="shared" si="65"/>
        <v>3520</v>
      </c>
      <c r="Q34">
        <f t="shared" si="66"/>
        <v>804.24771931898704</v>
      </c>
      <c r="R34">
        <f t="shared" si="67"/>
        <v>4324.247719318987</v>
      </c>
      <c r="S34">
        <f t="shared" si="9"/>
        <v>14118333.707433984</v>
      </c>
      <c r="T34">
        <f t="shared" si="68"/>
        <v>57.139500414724267</v>
      </c>
      <c r="U34">
        <f t="shared" si="69"/>
        <v>206.20063696646349</v>
      </c>
      <c r="V34">
        <v>2.4</v>
      </c>
      <c r="W34">
        <f t="shared" si="70"/>
        <v>1145.9256456195317</v>
      </c>
      <c r="X34">
        <v>182.4</v>
      </c>
      <c r="Y34">
        <f t="shared" si="12"/>
        <v>0.15917263104918777</v>
      </c>
      <c r="Z34" t="str">
        <f t="shared" si="71"/>
        <v>LC-bn33</v>
      </c>
      <c r="AA34">
        <f t="shared" si="14"/>
        <v>490</v>
      </c>
      <c r="AB34">
        <f t="shared" si="74"/>
        <v>517.02058150931066</v>
      </c>
      <c r="AC34">
        <f t="shared" si="15"/>
        <v>519.7880493042129</v>
      </c>
      <c r="AD34">
        <f t="shared" si="16"/>
        <v>325.88344850615891</v>
      </c>
      <c r="AE34">
        <f t="shared" si="17"/>
        <v>391.81101277749724</v>
      </c>
      <c r="AF34">
        <f t="shared" si="72"/>
        <v>1247.9131134303645</v>
      </c>
      <c r="AG34">
        <f t="shared" si="19"/>
        <v>0.14616402218789426</v>
      </c>
    </row>
    <row r="35" spans="1:33" x14ac:dyDescent="0.25">
      <c r="A35">
        <v>34</v>
      </c>
      <c r="B35">
        <v>355</v>
      </c>
      <c r="C35">
        <v>205</v>
      </c>
      <c r="D35">
        <v>0.7</v>
      </c>
      <c r="E35">
        <f t="shared" si="58"/>
        <v>12090.67109295784</v>
      </c>
      <c r="F35">
        <v>110</v>
      </c>
      <c r="G35">
        <f t="shared" si="73"/>
        <v>150</v>
      </c>
      <c r="H35">
        <v>8</v>
      </c>
      <c r="I35">
        <f t="shared" si="59"/>
        <v>13.75</v>
      </c>
      <c r="J35">
        <f t="shared" si="60"/>
        <v>0.25768034617741953</v>
      </c>
      <c r="K35">
        <f t="shared" si="61"/>
        <v>0.55000000000000004</v>
      </c>
      <c r="L35">
        <f t="shared" si="62"/>
        <v>12.090671092957841</v>
      </c>
      <c r="M35">
        <v>2.5</v>
      </c>
      <c r="N35">
        <f t="shared" si="63"/>
        <v>250</v>
      </c>
      <c r="O35">
        <f t="shared" si="64"/>
        <v>196900</v>
      </c>
      <c r="P35">
        <f t="shared" si="65"/>
        <v>3520</v>
      </c>
      <c r="Q35">
        <f t="shared" si="66"/>
        <v>804.24771931898704</v>
      </c>
      <c r="R35">
        <f t="shared" si="67"/>
        <v>4324.247719318987</v>
      </c>
      <c r="S35">
        <f t="shared" si="9"/>
        <v>14118333.707433984</v>
      </c>
      <c r="T35">
        <f t="shared" si="68"/>
        <v>57.139500414724267</v>
      </c>
      <c r="U35">
        <f t="shared" si="69"/>
        <v>211.59917404251925</v>
      </c>
      <c r="V35">
        <v>2.4</v>
      </c>
      <c r="W35">
        <f t="shared" si="70"/>
        <v>1081.0619298297468</v>
      </c>
      <c r="X35">
        <v>171.8</v>
      </c>
      <c r="Y35">
        <f t="shared" si="12"/>
        <v>0.15891781521439413</v>
      </c>
      <c r="Z35" t="str">
        <f t="shared" si="71"/>
        <v>LC-bn34</v>
      </c>
      <c r="AA35">
        <f t="shared" si="14"/>
        <v>490</v>
      </c>
      <c r="AB35">
        <f t="shared" si="74"/>
        <v>517.02058150931066</v>
      </c>
      <c r="AC35">
        <f t="shared" si="15"/>
        <v>519.7880493042129</v>
      </c>
      <c r="AD35">
        <f t="shared" si="16"/>
        <v>325.88344850615891</v>
      </c>
      <c r="AE35">
        <f t="shared" si="17"/>
        <v>373.87483720367732</v>
      </c>
      <c r="AF35">
        <f t="shared" si="72"/>
        <v>1180.6879851318151</v>
      </c>
      <c r="AG35">
        <f t="shared" si="19"/>
        <v>0.14550838338616601</v>
      </c>
    </row>
    <row r="36" spans="1:33" x14ac:dyDescent="0.25">
      <c r="A36">
        <v>35</v>
      </c>
      <c r="B36">
        <v>355</v>
      </c>
      <c r="C36">
        <v>205</v>
      </c>
      <c r="D36">
        <v>0.8</v>
      </c>
      <c r="E36">
        <f t="shared" si="58"/>
        <v>12429.339406594219</v>
      </c>
      <c r="F36">
        <v>110</v>
      </c>
      <c r="G36">
        <f t="shared" si="73"/>
        <v>150</v>
      </c>
      <c r="H36">
        <v>8</v>
      </c>
      <c r="I36">
        <f t="shared" si="59"/>
        <v>13.75</v>
      </c>
      <c r="J36">
        <f t="shared" si="60"/>
        <v>0.25065920326367425</v>
      </c>
      <c r="K36">
        <f t="shared" si="61"/>
        <v>0.55000000000000004</v>
      </c>
      <c r="L36">
        <f t="shared" si="62"/>
        <v>12.42933940659422</v>
      </c>
      <c r="M36">
        <v>2.5</v>
      </c>
      <c r="N36">
        <f t="shared" si="63"/>
        <v>235</v>
      </c>
      <c r="O36">
        <f t="shared" si="64"/>
        <v>195600</v>
      </c>
      <c r="P36">
        <f t="shared" si="65"/>
        <v>3520</v>
      </c>
      <c r="Q36">
        <f t="shared" si="66"/>
        <v>804.24771931898704</v>
      </c>
      <c r="R36">
        <f t="shared" si="67"/>
        <v>4324.247719318987</v>
      </c>
      <c r="S36">
        <f t="shared" si="9"/>
        <v>14118333.707433984</v>
      </c>
      <c r="T36">
        <f t="shared" si="68"/>
        <v>57.139500414724267</v>
      </c>
      <c r="U36">
        <f t="shared" si="69"/>
        <v>217.52621770195429</v>
      </c>
      <c r="V36">
        <v>2.4</v>
      </c>
      <c r="W36">
        <f t="shared" si="70"/>
        <v>1016.198214039962</v>
      </c>
      <c r="X36">
        <v>161.1</v>
      </c>
      <c r="Y36">
        <f t="shared" si="12"/>
        <v>0.15853206369999065</v>
      </c>
      <c r="Z36" t="str">
        <f t="shared" si="71"/>
        <v>LC-bn35</v>
      </c>
      <c r="AA36">
        <f t="shared" si="14"/>
        <v>490</v>
      </c>
      <c r="AB36">
        <f t="shared" si="74"/>
        <v>517.02058150931066</v>
      </c>
      <c r="AC36">
        <f t="shared" si="15"/>
        <v>519.7880493042129</v>
      </c>
      <c r="AD36">
        <f t="shared" si="16"/>
        <v>325.88344850615891</v>
      </c>
      <c r="AE36">
        <f t="shared" si="17"/>
        <v>356.90818463384755</v>
      </c>
      <c r="AF36">
        <f t="shared" si="72"/>
        <v>1114.242593498052</v>
      </c>
      <c r="AG36">
        <f t="shared" si="19"/>
        <v>0.14458251815185311</v>
      </c>
    </row>
    <row r="37" spans="1:33" x14ac:dyDescent="0.25">
      <c r="A37">
        <v>36</v>
      </c>
      <c r="B37">
        <v>355</v>
      </c>
      <c r="C37">
        <v>205</v>
      </c>
      <c r="D37">
        <v>0.9</v>
      </c>
      <c r="E37">
        <f t="shared" si="58"/>
        <v>12803.320384342578</v>
      </c>
      <c r="F37">
        <v>110</v>
      </c>
      <c r="G37">
        <f t="shared" si="73"/>
        <v>150</v>
      </c>
      <c r="H37">
        <v>8</v>
      </c>
      <c r="I37">
        <f t="shared" si="59"/>
        <v>13.75</v>
      </c>
      <c r="J37">
        <f t="shared" si="60"/>
        <v>0.24333752645608511</v>
      </c>
      <c r="K37">
        <f t="shared" si="61"/>
        <v>0.55000000000000004</v>
      </c>
      <c r="L37">
        <f t="shared" si="62"/>
        <v>12.803320384342578</v>
      </c>
      <c r="M37">
        <v>2.5</v>
      </c>
      <c r="N37">
        <f t="shared" si="63"/>
        <v>220</v>
      </c>
      <c r="O37">
        <f t="shared" si="64"/>
        <v>194300</v>
      </c>
      <c r="P37">
        <f t="shared" si="65"/>
        <v>3520</v>
      </c>
      <c r="Q37">
        <f t="shared" si="66"/>
        <v>804.24771931898704</v>
      </c>
      <c r="R37">
        <f t="shared" si="67"/>
        <v>4324.247719318987</v>
      </c>
      <c r="S37">
        <f t="shared" si="9"/>
        <v>14118333.707433984</v>
      </c>
      <c r="T37">
        <f t="shared" si="68"/>
        <v>57.139500414724267</v>
      </c>
      <c r="U37">
        <f t="shared" si="69"/>
        <v>224.07126928682933</v>
      </c>
      <c r="V37">
        <v>2.4</v>
      </c>
      <c r="W37">
        <f t="shared" si="70"/>
        <v>951.33449825017715</v>
      </c>
      <c r="X37">
        <v>150.4</v>
      </c>
      <c r="Y37">
        <f t="shared" si="12"/>
        <v>0.15809370970635039</v>
      </c>
      <c r="Z37" t="str">
        <f t="shared" si="71"/>
        <v>LC-bn36</v>
      </c>
      <c r="AA37">
        <f t="shared" si="14"/>
        <v>490</v>
      </c>
      <c r="AB37">
        <f t="shared" si="74"/>
        <v>517.02058150931066</v>
      </c>
      <c r="AC37">
        <f t="shared" si="15"/>
        <v>519.7880493042129</v>
      </c>
      <c r="AD37">
        <f t="shared" si="16"/>
        <v>325.88344850615891</v>
      </c>
      <c r="AE37">
        <f t="shared" si="17"/>
        <v>340.91105506800812</v>
      </c>
      <c r="AF37">
        <f t="shared" si="72"/>
        <v>1048.5769385290751</v>
      </c>
      <c r="AG37">
        <f t="shared" si="19"/>
        <v>0.14343248880809684</v>
      </c>
    </row>
    <row r="81" spans="27:37" x14ac:dyDescent="0.25"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</row>
    <row r="82" spans="27:37" x14ac:dyDescent="0.25">
      <c r="AB82" s="4"/>
      <c r="AF82" s="4"/>
      <c r="AG82" s="4"/>
    </row>
  </sheetData>
  <sortState xmlns:xlrd2="http://schemas.microsoft.com/office/spreadsheetml/2017/richdata2" ref="A40:AG75">
    <sortCondition ref="V40:V75"/>
    <sortCondition ref="D40:D75"/>
  </sortState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C1DE1-120D-4328-802C-50840FFC335F}">
  <dimension ref="A1:AI90"/>
  <sheetViews>
    <sheetView zoomScale="70" zoomScaleNormal="70" workbookViewId="0">
      <selection activeCell="P29" sqref="P29"/>
    </sheetView>
  </sheetViews>
  <sheetFormatPr defaultRowHeight="13.8" x14ac:dyDescent="0.25"/>
  <sheetData>
    <row r="1" spans="1:33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30</v>
      </c>
      <c r="F1" s="1" t="s">
        <v>31</v>
      </c>
      <c r="G1" t="s">
        <v>4</v>
      </c>
      <c r="H1" s="4" t="s">
        <v>5</v>
      </c>
      <c r="I1" s="4" t="s">
        <v>6</v>
      </c>
      <c r="J1" s="6" t="s">
        <v>26</v>
      </c>
      <c r="K1" s="1" t="s">
        <v>25</v>
      </c>
      <c r="L1" s="1" t="s">
        <v>24</v>
      </c>
      <c r="M1" s="1" t="s">
        <v>22</v>
      </c>
      <c r="N1" t="s">
        <v>7</v>
      </c>
      <c r="O1" t="s">
        <v>8</v>
      </c>
      <c r="P1" t="s">
        <v>9</v>
      </c>
      <c r="Q1" t="s">
        <v>10</v>
      </c>
      <c r="R1" t="s">
        <v>11</v>
      </c>
      <c r="S1" t="s">
        <v>28</v>
      </c>
      <c r="T1" t="s">
        <v>23</v>
      </c>
      <c r="U1" t="s">
        <v>29</v>
      </c>
      <c r="V1" s="5" t="s">
        <v>27</v>
      </c>
      <c r="W1" s="2" t="s">
        <v>12</v>
      </c>
      <c r="X1" s="2" t="s">
        <v>13</v>
      </c>
      <c r="Y1" s="3" t="s">
        <v>14</v>
      </c>
      <c r="Z1" s="3" t="s">
        <v>32</v>
      </c>
      <c r="AA1" t="s">
        <v>15</v>
      </c>
      <c r="AB1" t="s">
        <v>16</v>
      </c>
      <c r="AC1" t="s">
        <v>17</v>
      </c>
      <c r="AD1" t="s">
        <v>18</v>
      </c>
      <c r="AE1" t="s">
        <v>19</v>
      </c>
      <c r="AF1" s="2" t="s">
        <v>20</v>
      </c>
      <c r="AG1" s="3" t="s">
        <v>21</v>
      </c>
    </row>
    <row r="2" spans="1:33" x14ac:dyDescent="0.25">
      <c r="A2">
        <v>1</v>
      </c>
      <c r="B2">
        <v>355</v>
      </c>
      <c r="C2">
        <v>205</v>
      </c>
      <c r="D2">
        <v>0.2</v>
      </c>
      <c r="E2">
        <v>1000</v>
      </c>
      <c r="F2">
        <v>110</v>
      </c>
      <c r="G2">
        <f>F2+2*H2*M2</f>
        <v>134</v>
      </c>
      <c r="H2">
        <v>8</v>
      </c>
      <c r="I2">
        <f>F2/H2</f>
        <v>13.75</v>
      </c>
      <c r="J2">
        <f>SQRT(12*(1-0.3^2)*I2^2*N2/(4*PI()^2*O2))</f>
        <v>0.28906822465146947</v>
      </c>
      <c r="K2">
        <f>H2*I2/200</f>
        <v>0.55000000000000004</v>
      </c>
      <c r="L2">
        <f t="shared" ref="L2:L12" si="0">E2/1000</f>
        <v>1</v>
      </c>
      <c r="M2">
        <v>1.5</v>
      </c>
      <c r="N2">
        <f>D2*C2+(1-D2)*B2</f>
        <v>325</v>
      </c>
      <c r="O2">
        <f>193000*D2+(1-D2)*206000</f>
        <v>203400</v>
      </c>
      <c r="P2">
        <f>H2*I2*H2*4</f>
        <v>3520</v>
      </c>
      <c r="Q2">
        <f>PI()*(M2*H2)^2-PI()*((M2-1)*H2)^2</f>
        <v>402.12385965949352</v>
      </c>
      <c r="R2">
        <f>P2+Q2</f>
        <v>3922.1238596594935</v>
      </c>
      <c r="S2">
        <f>1/12*H2*(H2*I2)^3*2+(1/12*(H2*I2)*H2^3+(H2*I2)*H2*(G2/2-H2/2)^2)*2+PI()/8*((M2*H2)^4-((M2-1)*H2)^4)*2+1/2*PI()*((M2*H2)^2-((M2-1)*H2)^2)*(-1*((4*((M2*H2)^3-((M2-1)*H2)^3))/(3*PI()*((M2*H2)^2-((M2-1)*H2)^2)))^2+1*((4*((M2*H2)^3-((M2-1)*H2)^3))/(3*PI()*((M2*H2)^2-((M2-1)*H2)^2))+H2*I2/2)^2)*2</f>
        <v>10246056.296523014</v>
      </c>
      <c r="T2">
        <f>SQRT(S2/R2)</f>
        <v>51.111392904395153</v>
      </c>
      <c r="U2">
        <f>E2/T2</f>
        <v>19.565109522069164</v>
      </c>
      <c r="V2">
        <f>U2/PI()*SQRT(N2/O2)</f>
        <v>0.24894225364660225</v>
      </c>
      <c r="W2">
        <f>R2*N2/1000</f>
        <v>1274.6902543893355</v>
      </c>
      <c r="X2">
        <v>1307.9000000000001</v>
      </c>
      <c r="Y2">
        <f>X2/W2</f>
        <v>1.0260531886050814</v>
      </c>
      <c r="Z2" t="str">
        <f>"LC-C"&amp;A2</f>
        <v>LC-C1</v>
      </c>
      <c r="AA2">
        <f>IF(B2=235,360,IF(B2=355,490,560))</f>
        <v>490</v>
      </c>
      <c r="AB2">
        <f>C2/(0.2+185*C2/193000)</f>
        <v>517.02058150931066</v>
      </c>
      <c r="AC2">
        <f>B2*(2.769*(AA2/B2)-0.581*(AA2/B2)^2-1.182)/((M2-1)^(0.314*(AA2/B2)-0.32))</f>
        <v>588.75671369876318</v>
      </c>
      <c r="AD2">
        <f>1.673*C2/(M2-1)^0.126</f>
        <v>374.26531559414582</v>
      </c>
      <c r="AE2">
        <f>AC2*(1-((2*M2*H2-D2*H2)/(2*M2*H2-H2)*D2))+AD2*((2*M2*H2-D2*H2)/(2*M2*H2-H2)*D2)</f>
        <v>528.69912222947028</v>
      </c>
      <c r="AF2">
        <f>(AE2*Q2+N2*P2)/1000</f>
        <v>1356.6025316295008</v>
      </c>
      <c r="AG2">
        <f>X2/AF2</f>
        <v>0.9640996308837777</v>
      </c>
    </row>
    <row r="3" spans="1:33" x14ac:dyDescent="0.25">
      <c r="A3">
        <v>2</v>
      </c>
      <c r="B3">
        <v>355</v>
      </c>
      <c r="C3">
        <v>205</v>
      </c>
      <c r="D3">
        <v>0.2</v>
      </c>
      <c r="E3">
        <v>2000</v>
      </c>
      <c r="F3">
        <v>110</v>
      </c>
      <c r="G3">
        <f t="shared" ref="G3:G56" si="1">F3+2*H3*M3</f>
        <v>134</v>
      </c>
      <c r="H3">
        <v>8</v>
      </c>
      <c r="I3">
        <f t="shared" ref="I3:I12" si="2">F3/H3</f>
        <v>13.75</v>
      </c>
      <c r="J3">
        <f>SQRT(12*(1-0.3^2)*I3^2*N3/(4*PI()^2*O3))</f>
        <v>0.28906822465146947</v>
      </c>
      <c r="K3">
        <f t="shared" ref="K3:K12" si="3">H3*I3/200</f>
        <v>0.55000000000000004</v>
      </c>
      <c r="L3">
        <f t="shared" si="0"/>
        <v>2</v>
      </c>
      <c r="M3">
        <v>1.5</v>
      </c>
      <c r="N3">
        <f t="shared" ref="N3:N12" si="4">D3*C3+(1-D3)*B3</f>
        <v>325</v>
      </c>
      <c r="O3">
        <f>193000*D3+(1-D3)*206000</f>
        <v>203400</v>
      </c>
      <c r="P3">
        <f>H3*I3*H3*4</f>
        <v>3520</v>
      </c>
      <c r="Q3">
        <f>PI()*(M3*H3)^2-PI()*((M3-1)*H3)^2</f>
        <v>402.12385965949352</v>
      </c>
      <c r="R3">
        <f t="shared" ref="R3:R12" si="5">P3+Q3</f>
        <v>3922.1238596594935</v>
      </c>
      <c r="S3">
        <f t="shared" ref="S3:S56" si="6">1/12*H3*(H3*I3)^3*2+(1/12*(H3*I3)*H3^3+(H3*I3)*H3*(G3/2-H3/2)^2)*2+PI()/8*((M3*H3)^4-((M3-1)*H3)^4)*2+1/2*PI()*((M3*H3)^2-((M3-1)*H3)^2)*(-1*((4*((M3*H3)^3-((M3-1)*H3)^3))/(3*PI()*((M3*H3)^2-((M3-1)*H3)^2)))^2+1*((4*((M3*H3)^3-((M3-1)*H3)^3))/(3*PI()*((M3*H3)^2-((M3-1)*H3)^2))+H3*I3/2)^2)*2</f>
        <v>10246056.296523014</v>
      </c>
      <c r="T3">
        <f t="shared" ref="T3:T12" si="7">SQRT(S3/R3)</f>
        <v>51.111392904395153</v>
      </c>
      <c r="U3">
        <f t="shared" ref="U3:U12" si="8">E3/T3</f>
        <v>39.130219044138329</v>
      </c>
      <c r="V3">
        <f t="shared" ref="V3:V12" si="9">U3/PI()*SQRT(N3/O3)</f>
        <v>0.49788450729320449</v>
      </c>
      <c r="W3">
        <f t="shared" ref="W3:W12" si="10">R3*N3/1000</f>
        <v>1274.6902543893355</v>
      </c>
      <c r="X3">
        <v>1091.7</v>
      </c>
      <c r="Y3">
        <f t="shared" ref="Y3:Y56" si="11">X3/W3</f>
        <v>0.85644335652585624</v>
      </c>
      <c r="Z3" t="str">
        <f t="shared" ref="Z3:Z56" si="12">"LC-C"&amp;A3</f>
        <v>LC-C2</v>
      </c>
      <c r="AA3">
        <f t="shared" ref="AA3:AA56" si="13">IF(B3=235,360,IF(B3=355,490,560))</f>
        <v>490</v>
      </c>
      <c r="AB3">
        <f>C3/(0.2+185*C3/193000)</f>
        <v>517.02058150931066</v>
      </c>
      <c r="AC3">
        <f t="shared" ref="AC3:AC56" si="14">B3*(2.769*(AA3/B3)-0.581*(AA3/B3)^2-1.182)/((M3-1)^(0.314*(AA3/B3)-0.32))</f>
        <v>588.75671369876318</v>
      </c>
      <c r="AD3">
        <f t="shared" ref="AD3:AD56" si="15">1.673*C3/(M3-1)^0.126</f>
        <v>374.26531559414582</v>
      </c>
      <c r="AE3">
        <f t="shared" ref="AE3:AE56" si="16">AC3*(1-((2*M3*H3-D3*H3)/(2*M3*H3-H3)*D3))+AD3*((2*M3*H3-D3*H3)/(2*M3*H3-H3)*D3)</f>
        <v>528.69912222947028</v>
      </c>
      <c r="AF3">
        <f t="shared" ref="AF3:AF12" si="17">(AE3*Q3+N3*P3)/1000</f>
        <v>1356.6025316295008</v>
      </c>
      <c r="AG3">
        <f t="shared" ref="AG3:AG56" si="18">X3/AF3</f>
        <v>0.8047309175287255</v>
      </c>
    </row>
    <row r="4" spans="1:33" x14ac:dyDescent="0.25">
      <c r="A4">
        <v>3</v>
      </c>
      <c r="B4">
        <v>355</v>
      </c>
      <c r="C4">
        <v>205</v>
      </c>
      <c r="D4">
        <v>0.2</v>
      </c>
      <c r="E4">
        <v>3000</v>
      </c>
      <c r="F4">
        <v>110</v>
      </c>
      <c r="G4">
        <f t="shared" si="1"/>
        <v>134</v>
      </c>
      <c r="H4">
        <v>8</v>
      </c>
      <c r="I4">
        <f t="shared" si="2"/>
        <v>13.75</v>
      </c>
      <c r="J4">
        <f>SQRT(12*(1-0.3^2)*I4^2*N4/(4*PI()^2*O4))</f>
        <v>0.28906822465146947</v>
      </c>
      <c r="K4">
        <f t="shared" si="3"/>
        <v>0.55000000000000004</v>
      </c>
      <c r="L4">
        <f t="shared" si="0"/>
        <v>3</v>
      </c>
      <c r="M4">
        <v>1.5</v>
      </c>
      <c r="N4">
        <f t="shared" si="4"/>
        <v>325</v>
      </c>
      <c r="O4">
        <f>193000*D4+(1-D4)*206000</f>
        <v>203400</v>
      </c>
      <c r="P4">
        <f>H4*I4*H4*4</f>
        <v>3520</v>
      </c>
      <c r="Q4">
        <f>PI()*(M4*H4)^2-PI()*((M4-1)*H4)^2</f>
        <v>402.12385965949352</v>
      </c>
      <c r="R4">
        <f t="shared" si="5"/>
        <v>3922.1238596594935</v>
      </c>
      <c r="S4">
        <f t="shared" si="6"/>
        <v>10246056.296523014</v>
      </c>
      <c r="T4">
        <f t="shared" si="7"/>
        <v>51.111392904395153</v>
      </c>
      <c r="U4">
        <f t="shared" si="8"/>
        <v>58.6953285662075</v>
      </c>
      <c r="V4">
        <f t="shared" si="9"/>
        <v>0.74682676093980693</v>
      </c>
      <c r="W4">
        <f t="shared" si="10"/>
        <v>1274.6902543893355</v>
      </c>
      <c r="X4">
        <v>927.4</v>
      </c>
      <c r="Y4">
        <f t="shared" si="11"/>
        <v>0.72754929819737935</v>
      </c>
      <c r="Z4" t="str">
        <f t="shared" si="12"/>
        <v>LC-C3</v>
      </c>
      <c r="AA4">
        <f t="shared" si="13"/>
        <v>490</v>
      </c>
      <c r="AB4">
        <f>C4/(0.2+185*C4/193000)</f>
        <v>517.02058150931066</v>
      </c>
      <c r="AC4">
        <f t="shared" si="14"/>
        <v>588.75671369876318</v>
      </c>
      <c r="AD4">
        <f t="shared" si="15"/>
        <v>374.26531559414582</v>
      </c>
      <c r="AE4">
        <f t="shared" si="16"/>
        <v>528.69912222947028</v>
      </c>
      <c r="AF4">
        <f t="shared" si="17"/>
        <v>1356.6025316295008</v>
      </c>
      <c r="AG4">
        <f t="shared" si="18"/>
        <v>0.68361954100589906</v>
      </c>
    </row>
    <row r="5" spans="1:33" x14ac:dyDescent="0.25">
      <c r="A5">
        <v>4</v>
      </c>
      <c r="B5">
        <v>355</v>
      </c>
      <c r="C5">
        <v>205</v>
      </c>
      <c r="D5">
        <v>0.2</v>
      </c>
      <c r="E5">
        <v>4000</v>
      </c>
      <c r="F5">
        <v>110</v>
      </c>
      <c r="G5">
        <f t="shared" si="1"/>
        <v>134</v>
      </c>
      <c r="H5">
        <v>8</v>
      </c>
      <c r="I5">
        <f t="shared" si="2"/>
        <v>13.75</v>
      </c>
      <c r="J5">
        <f t="shared" ref="J5:J12" si="19">SQRT(12*(1-0.3^2)*I5^2*N5/(4*PI()^2*O5))</f>
        <v>0.28906822465146947</v>
      </c>
      <c r="K5">
        <f t="shared" si="3"/>
        <v>0.55000000000000004</v>
      </c>
      <c r="L5">
        <f t="shared" si="0"/>
        <v>4</v>
      </c>
      <c r="M5">
        <v>1.5</v>
      </c>
      <c r="N5">
        <f t="shared" si="4"/>
        <v>325</v>
      </c>
      <c r="O5">
        <f t="shared" ref="O5:O12" si="20">193000*D5+(1-D5)*206000</f>
        <v>203400</v>
      </c>
      <c r="P5">
        <f t="shared" ref="P5:P12" si="21">H5*I5*H5*4</f>
        <v>3520</v>
      </c>
      <c r="Q5">
        <f t="shared" ref="Q5:Q12" si="22">PI()*(M5*H5)^2-PI()*((M5-1)*H5)^2</f>
        <v>402.12385965949352</v>
      </c>
      <c r="R5">
        <f t="shared" si="5"/>
        <v>3922.1238596594935</v>
      </c>
      <c r="S5">
        <f t="shared" si="6"/>
        <v>10246056.296523014</v>
      </c>
      <c r="T5">
        <f t="shared" si="7"/>
        <v>51.111392904395153</v>
      </c>
      <c r="U5">
        <f t="shared" si="8"/>
        <v>78.260438088276658</v>
      </c>
      <c r="V5">
        <f t="shared" si="9"/>
        <v>0.99576901458640898</v>
      </c>
      <c r="W5">
        <f t="shared" si="10"/>
        <v>1274.6902543893355</v>
      </c>
      <c r="X5">
        <v>791.3</v>
      </c>
      <c r="Y5">
        <f t="shared" si="11"/>
        <v>0.62077826144445358</v>
      </c>
      <c r="Z5" t="str">
        <f t="shared" si="12"/>
        <v>LC-C4</v>
      </c>
      <c r="AA5">
        <f t="shared" si="13"/>
        <v>490</v>
      </c>
      <c r="AB5">
        <f t="shared" ref="AB5:AB12" si="23">C5/(0.2+185*C5/193000)</f>
        <v>517.02058150931066</v>
      </c>
      <c r="AC5">
        <f t="shared" si="14"/>
        <v>588.75671369876318</v>
      </c>
      <c r="AD5">
        <f t="shared" si="15"/>
        <v>374.26531559414582</v>
      </c>
      <c r="AE5">
        <f t="shared" si="16"/>
        <v>528.69912222947028</v>
      </c>
      <c r="AF5">
        <f t="shared" si="17"/>
        <v>1356.6025316295008</v>
      </c>
      <c r="AG5">
        <f t="shared" si="18"/>
        <v>0.58329538796416636</v>
      </c>
    </row>
    <row r="6" spans="1:33" x14ac:dyDescent="0.25">
      <c r="A6">
        <v>5</v>
      </c>
      <c r="B6">
        <v>355</v>
      </c>
      <c r="C6">
        <v>205</v>
      </c>
      <c r="D6">
        <v>0.2</v>
      </c>
      <c r="E6">
        <v>5000</v>
      </c>
      <c r="F6">
        <v>110</v>
      </c>
      <c r="G6">
        <f t="shared" si="1"/>
        <v>134</v>
      </c>
      <c r="H6">
        <v>8</v>
      </c>
      <c r="I6">
        <f t="shared" si="2"/>
        <v>13.75</v>
      </c>
      <c r="J6">
        <f t="shared" si="19"/>
        <v>0.28906822465146947</v>
      </c>
      <c r="K6">
        <f t="shared" si="3"/>
        <v>0.55000000000000004</v>
      </c>
      <c r="L6">
        <f t="shared" si="0"/>
        <v>5</v>
      </c>
      <c r="M6">
        <v>1.5</v>
      </c>
      <c r="N6">
        <f t="shared" si="4"/>
        <v>325</v>
      </c>
      <c r="O6">
        <f t="shared" si="20"/>
        <v>203400</v>
      </c>
      <c r="P6">
        <f t="shared" si="21"/>
        <v>3520</v>
      </c>
      <c r="Q6">
        <f t="shared" si="22"/>
        <v>402.12385965949352</v>
      </c>
      <c r="R6">
        <f t="shared" si="5"/>
        <v>3922.1238596594935</v>
      </c>
      <c r="S6">
        <f t="shared" si="6"/>
        <v>10246056.296523014</v>
      </c>
      <c r="T6">
        <f t="shared" si="7"/>
        <v>51.111392904395153</v>
      </c>
      <c r="U6">
        <f t="shared" si="8"/>
        <v>97.825547610345822</v>
      </c>
      <c r="V6">
        <f t="shared" si="9"/>
        <v>1.2447112682330113</v>
      </c>
      <c r="W6">
        <f t="shared" si="10"/>
        <v>1274.6902543893355</v>
      </c>
      <c r="X6">
        <v>621.9</v>
      </c>
      <c r="Y6">
        <f t="shared" si="11"/>
        <v>0.48788323112890902</v>
      </c>
      <c r="Z6" t="str">
        <f t="shared" si="12"/>
        <v>LC-C5</v>
      </c>
      <c r="AA6">
        <f t="shared" si="13"/>
        <v>490</v>
      </c>
      <c r="AB6">
        <f t="shared" si="23"/>
        <v>517.02058150931066</v>
      </c>
      <c r="AC6">
        <f t="shared" si="14"/>
        <v>588.75671369876318</v>
      </c>
      <c r="AD6">
        <f t="shared" si="15"/>
        <v>374.26531559414582</v>
      </c>
      <c r="AE6">
        <f t="shared" si="16"/>
        <v>528.69912222947028</v>
      </c>
      <c r="AF6">
        <f t="shared" si="17"/>
        <v>1356.6025316295008</v>
      </c>
      <c r="AG6">
        <f t="shared" si="18"/>
        <v>0.45842461996071665</v>
      </c>
    </row>
    <row r="7" spans="1:33" x14ac:dyDescent="0.25">
      <c r="A7">
        <v>6</v>
      </c>
      <c r="B7">
        <v>355</v>
      </c>
      <c r="C7">
        <v>205</v>
      </c>
      <c r="D7">
        <v>0.2</v>
      </c>
      <c r="E7">
        <v>6000</v>
      </c>
      <c r="F7">
        <v>110</v>
      </c>
      <c r="G7">
        <f t="shared" si="1"/>
        <v>134</v>
      </c>
      <c r="H7">
        <v>8</v>
      </c>
      <c r="I7">
        <f t="shared" si="2"/>
        <v>13.75</v>
      </c>
      <c r="J7">
        <f t="shared" si="19"/>
        <v>0.28906822465146947</v>
      </c>
      <c r="K7">
        <f t="shared" si="3"/>
        <v>0.55000000000000004</v>
      </c>
      <c r="L7">
        <f t="shared" si="0"/>
        <v>6</v>
      </c>
      <c r="M7">
        <v>1.5</v>
      </c>
      <c r="N7">
        <f t="shared" si="4"/>
        <v>325</v>
      </c>
      <c r="O7">
        <f t="shared" si="20"/>
        <v>203400</v>
      </c>
      <c r="P7">
        <f t="shared" si="21"/>
        <v>3520</v>
      </c>
      <c r="Q7">
        <f t="shared" si="22"/>
        <v>402.12385965949352</v>
      </c>
      <c r="R7">
        <f t="shared" si="5"/>
        <v>3922.1238596594935</v>
      </c>
      <c r="S7">
        <f t="shared" si="6"/>
        <v>10246056.296523014</v>
      </c>
      <c r="T7">
        <f t="shared" si="7"/>
        <v>51.111392904395153</v>
      </c>
      <c r="U7">
        <f t="shared" si="8"/>
        <v>117.390657132415</v>
      </c>
      <c r="V7">
        <f t="shared" si="9"/>
        <v>1.4936535218796139</v>
      </c>
      <c r="W7">
        <f t="shared" si="10"/>
        <v>1274.6902543893355</v>
      </c>
      <c r="X7">
        <v>477.1</v>
      </c>
      <c r="Y7">
        <f t="shared" si="11"/>
        <v>0.37428700686863242</v>
      </c>
      <c r="Z7" t="str">
        <f t="shared" si="12"/>
        <v>LC-C6</v>
      </c>
      <c r="AA7">
        <f t="shared" si="13"/>
        <v>490</v>
      </c>
      <c r="AB7">
        <f t="shared" si="23"/>
        <v>517.02058150931066</v>
      </c>
      <c r="AC7">
        <f t="shared" si="14"/>
        <v>588.75671369876318</v>
      </c>
      <c r="AD7">
        <f t="shared" si="15"/>
        <v>374.26531559414582</v>
      </c>
      <c r="AE7">
        <f t="shared" si="16"/>
        <v>528.69912222947028</v>
      </c>
      <c r="AF7">
        <f t="shared" si="17"/>
        <v>1356.6025316295008</v>
      </c>
      <c r="AG7">
        <f t="shared" si="18"/>
        <v>0.35168738733439125</v>
      </c>
    </row>
    <row r="8" spans="1:33" x14ac:dyDescent="0.25">
      <c r="A8">
        <v>7</v>
      </c>
      <c r="B8">
        <v>355</v>
      </c>
      <c r="C8">
        <v>205</v>
      </c>
      <c r="D8">
        <v>0.2</v>
      </c>
      <c r="E8">
        <v>7000</v>
      </c>
      <c r="F8">
        <v>110</v>
      </c>
      <c r="G8">
        <f t="shared" si="1"/>
        <v>134</v>
      </c>
      <c r="H8">
        <v>8</v>
      </c>
      <c r="I8">
        <f t="shared" si="2"/>
        <v>13.75</v>
      </c>
      <c r="J8">
        <f t="shared" si="19"/>
        <v>0.28906822465146947</v>
      </c>
      <c r="K8">
        <f t="shared" si="3"/>
        <v>0.55000000000000004</v>
      </c>
      <c r="L8">
        <f t="shared" si="0"/>
        <v>7</v>
      </c>
      <c r="M8">
        <v>1.5</v>
      </c>
      <c r="N8">
        <f t="shared" si="4"/>
        <v>325</v>
      </c>
      <c r="O8">
        <f t="shared" si="20"/>
        <v>203400</v>
      </c>
      <c r="P8">
        <f t="shared" si="21"/>
        <v>3520</v>
      </c>
      <c r="Q8">
        <f t="shared" si="22"/>
        <v>402.12385965949352</v>
      </c>
      <c r="R8">
        <f t="shared" si="5"/>
        <v>3922.1238596594935</v>
      </c>
      <c r="S8">
        <f t="shared" si="6"/>
        <v>10246056.296523014</v>
      </c>
      <c r="T8">
        <f t="shared" si="7"/>
        <v>51.111392904395153</v>
      </c>
      <c r="U8">
        <f t="shared" si="8"/>
        <v>136.95576665448417</v>
      </c>
      <c r="V8">
        <f t="shared" si="9"/>
        <v>1.742595775526216</v>
      </c>
      <c r="W8">
        <f t="shared" si="10"/>
        <v>1274.6902543893355</v>
      </c>
      <c r="X8">
        <v>368.4</v>
      </c>
      <c r="Y8">
        <f t="shared" si="11"/>
        <v>0.28901138824230593</v>
      </c>
      <c r="Z8" t="str">
        <f t="shared" si="12"/>
        <v>LC-C7</v>
      </c>
      <c r="AA8">
        <f t="shared" si="13"/>
        <v>490</v>
      </c>
      <c r="AB8">
        <f t="shared" si="23"/>
        <v>517.02058150931066</v>
      </c>
      <c r="AC8">
        <f t="shared" si="14"/>
        <v>588.75671369876318</v>
      </c>
      <c r="AD8">
        <f t="shared" si="15"/>
        <v>374.26531559414582</v>
      </c>
      <c r="AE8">
        <f t="shared" si="16"/>
        <v>528.69912222947028</v>
      </c>
      <c r="AF8">
        <f t="shared" si="17"/>
        <v>1356.6025316295008</v>
      </c>
      <c r="AG8">
        <f t="shared" si="18"/>
        <v>0.27156074930620355</v>
      </c>
    </row>
    <row r="9" spans="1:33" x14ac:dyDescent="0.25">
      <c r="A9">
        <v>8</v>
      </c>
      <c r="B9">
        <v>355</v>
      </c>
      <c r="C9">
        <v>205</v>
      </c>
      <c r="D9">
        <v>0.2</v>
      </c>
      <c r="E9">
        <v>8000</v>
      </c>
      <c r="F9">
        <v>110</v>
      </c>
      <c r="G9">
        <f t="shared" si="1"/>
        <v>134</v>
      </c>
      <c r="H9">
        <v>8</v>
      </c>
      <c r="I9">
        <f t="shared" si="2"/>
        <v>13.75</v>
      </c>
      <c r="J9">
        <f t="shared" si="19"/>
        <v>0.28906822465146947</v>
      </c>
      <c r="K9">
        <f t="shared" si="3"/>
        <v>0.55000000000000004</v>
      </c>
      <c r="L9">
        <f t="shared" si="0"/>
        <v>8</v>
      </c>
      <c r="M9">
        <v>1.5</v>
      </c>
      <c r="N9">
        <f t="shared" si="4"/>
        <v>325</v>
      </c>
      <c r="O9">
        <f t="shared" si="20"/>
        <v>203400</v>
      </c>
      <c r="P9">
        <f t="shared" si="21"/>
        <v>3520</v>
      </c>
      <c r="Q9">
        <f t="shared" si="22"/>
        <v>402.12385965949352</v>
      </c>
      <c r="R9">
        <f t="shared" si="5"/>
        <v>3922.1238596594935</v>
      </c>
      <c r="S9">
        <f t="shared" si="6"/>
        <v>10246056.296523014</v>
      </c>
      <c r="T9">
        <f t="shared" si="7"/>
        <v>51.111392904395153</v>
      </c>
      <c r="U9">
        <f t="shared" si="8"/>
        <v>156.52087617655332</v>
      </c>
      <c r="V9">
        <f t="shared" si="9"/>
        <v>1.991538029172818</v>
      </c>
      <c r="W9">
        <f t="shared" si="10"/>
        <v>1274.6902543893355</v>
      </c>
      <c r="X9">
        <v>289.39999999999998</v>
      </c>
      <c r="Y9">
        <f t="shared" si="11"/>
        <v>0.22703554765831527</v>
      </c>
      <c r="Z9" t="str">
        <f t="shared" si="12"/>
        <v>LC-C8</v>
      </c>
      <c r="AA9">
        <f t="shared" si="13"/>
        <v>490</v>
      </c>
      <c r="AB9">
        <f t="shared" si="23"/>
        <v>517.02058150931066</v>
      </c>
      <c r="AC9">
        <f t="shared" si="14"/>
        <v>588.75671369876318</v>
      </c>
      <c r="AD9">
        <f t="shared" si="15"/>
        <v>374.26531559414582</v>
      </c>
      <c r="AE9">
        <f t="shared" si="16"/>
        <v>528.69912222947028</v>
      </c>
      <c r="AF9">
        <f t="shared" si="17"/>
        <v>1356.6025316295008</v>
      </c>
      <c r="AG9">
        <f t="shared" si="18"/>
        <v>0.21332703813576359</v>
      </c>
    </row>
    <row r="10" spans="1:33" x14ac:dyDescent="0.25">
      <c r="A10">
        <v>9</v>
      </c>
      <c r="B10">
        <v>355</v>
      </c>
      <c r="C10">
        <v>205</v>
      </c>
      <c r="D10">
        <v>0.2</v>
      </c>
      <c r="E10">
        <v>9000</v>
      </c>
      <c r="F10">
        <v>110</v>
      </c>
      <c r="G10">
        <f t="shared" si="1"/>
        <v>134</v>
      </c>
      <c r="H10">
        <v>8</v>
      </c>
      <c r="I10">
        <f t="shared" si="2"/>
        <v>13.75</v>
      </c>
      <c r="J10">
        <f t="shared" si="19"/>
        <v>0.28906822465146947</v>
      </c>
      <c r="K10">
        <f t="shared" si="3"/>
        <v>0.55000000000000004</v>
      </c>
      <c r="L10">
        <f t="shared" si="0"/>
        <v>9</v>
      </c>
      <c r="M10">
        <v>1.5</v>
      </c>
      <c r="N10">
        <f t="shared" si="4"/>
        <v>325</v>
      </c>
      <c r="O10">
        <f t="shared" si="20"/>
        <v>203400</v>
      </c>
      <c r="P10">
        <f t="shared" si="21"/>
        <v>3520</v>
      </c>
      <c r="Q10">
        <f t="shared" si="22"/>
        <v>402.12385965949352</v>
      </c>
      <c r="R10">
        <f t="shared" si="5"/>
        <v>3922.1238596594935</v>
      </c>
      <c r="S10">
        <f t="shared" si="6"/>
        <v>10246056.296523014</v>
      </c>
      <c r="T10">
        <f t="shared" si="7"/>
        <v>51.111392904395153</v>
      </c>
      <c r="U10">
        <f t="shared" si="8"/>
        <v>176.08598569862249</v>
      </c>
      <c r="V10">
        <f t="shared" si="9"/>
        <v>2.2404802828194206</v>
      </c>
      <c r="W10">
        <f t="shared" si="10"/>
        <v>1274.6902543893355</v>
      </c>
      <c r="X10">
        <v>232.4</v>
      </c>
      <c r="Y10">
        <f t="shared" si="11"/>
        <v>0.18231880192049921</v>
      </c>
      <c r="Z10" t="str">
        <f t="shared" si="12"/>
        <v>LC-C9</v>
      </c>
      <c r="AA10">
        <f t="shared" si="13"/>
        <v>490</v>
      </c>
      <c r="AB10">
        <f t="shared" si="23"/>
        <v>517.02058150931066</v>
      </c>
      <c r="AC10">
        <f t="shared" si="14"/>
        <v>588.75671369876318</v>
      </c>
      <c r="AD10">
        <f t="shared" si="15"/>
        <v>374.26531559414582</v>
      </c>
      <c r="AE10">
        <f t="shared" si="16"/>
        <v>528.69912222947028</v>
      </c>
      <c r="AF10">
        <f t="shared" si="17"/>
        <v>1356.6025316295008</v>
      </c>
      <c r="AG10">
        <f t="shared" si="18"/>
        <v>0.17131030982291454</v>
      </c>
    </row>
    <row r="11" spans="1:33" x14ac:dyDescent="0.25">
      <c r="A11">
        <v>10</v>
      </c>
      <c r="B11">
        <v>355</v>
      </c>
      <c r="C11">
        <v>205</v>
      </c>
      <c r="D11">
        <v>0.2</v>
      </c>
      <c r="E11">
        <v>10000</v>
      </c>
      <c r="F11">
        <v>110</v>
      </c>
      <c r="G11">
        <f t="shared" si="1"/>
        <v>134</v>
      </c>
      <c r="H11">
        <v>8</v>
      </c>
      <c r="I11">
        <f t="shared" si="2"/>
        <v>13.75</v>
      </c>
      <c r="J11">
        <f t="shared" si="19"/>
        <v>0.28906822465146947</v>
      </c>
      <c r="K11">
        <f t="shared" si="3"/>
        <v>0.55000000000000004</v>
      </c>
      <c r="L11">
        <f t="shared" si="0"/>
        <v>10</v>
      </c>
      <c r="M11">
        <v>1.5</v>
      </c>
      <c r="N11">
        <f t="shared" si="4"/>
        <v>325</v>
      </c>
      <c r="O11">
        <f t="shared" si="20"/>
        <v>203400</v>
      </c>
      <c r="P11">
        <f t="shared" si="21"/>
        <v>3520</v>
      </c>
      <c r="Q11">
        <f t="shared" si="22"/>
        <v>402.12385965949352</v>
      </c>
      <c r="R11">
        <f t="shared" si="5"/>
        <v>3922.1238596594935</v>
      </c>
      <c r="S11">
        <f t="shared" si="6"/>
        <v>10246056.296523014</v>
      </c>
      <c r="T11">
        <f t="shared" si="7"/>
        <v>51.111392904395153</v>
      </c>
      <c r="U11">
        <f t="shared" si="8"/>
        <v>195.65109522069164</v>
      </c>
      <c r="V11">
        <f t="shared" si="9"/>
        <v>2.4894225364660225</v>
      </c>
      <c r="W11">
        <f t="shared" si="10"/>
        <v>1274.6902543893355</v>
      </c>
      <c r="X11">
        <v>190.5</v>
      </c>
      <c r="Y11">
        <f t="shared" si="11"/>
        <v>0.14944807128164844</v>
      </c>
      <c r="Z11" t="str">
        <f t="shared" si="12"/>
        <v>LC-C10</v>
      </c>
      <c r="AA11">
        <f t="shared" si="13"/>
        <v>490</v>
      </c>
      <c r="AB11">
        <f t="shared" si="23"/>
        <v>517.02058150931066</v>
      </c>
      <c r="AC11">
        <f t="shared" si="14"/>
        <v>588.75671369876318</v>
      </c>
      <c r="AD11">
        <f t="shared" si="15"/>
        <v>374.26531559414582</v>
      </c>
      <c r="AE11">
        <f t="shared" si="16"/>
        <v>528.69912222947028</v>
      </c>
      <c r="AF11">
        <f t="shared" si="17"/>
        <v>1356.6025316295008</v>
      </c>
      <c r="AG11">
        <f t="shared" si="18"/>
        <v>0.14042432883504827</v>
      </c>
    </row>
    <row r="12" spans="1:33" x14ac:dyDescent="0.25">
      <c r="A12">
        <v>11</v>
      </c>
      <c r="B12">
        <v>355</v>
      </c>
      <c r="C12">
        <v>205</v>
      </c>
      <c r="D12">
        <v>0.2</v>
      </c>
      <c r="E12">
        <v>12000</v>
      </c>
      <c r="F12">
        <v>110</v>
      </c>
      <c r="G12">
        <f t="shared" si="1"/>
        <v>134</v>
      </c>
      <c r="H12">
        <v>8</v>
      </c>
      <c r="I12">
        <f t="shared" si="2"/>
        <v>13.75</v>
      </c>
      <c r="J12">
        <f t="shared" si="19"/>
        <v>0.28906822465146947</v>
      </c>
      <c r="K12">
        <f t="shared" si="3"/>
        <v>0.55000000000000004</v>
      </c>
      <c r="L12">
        <f t="shared" si="0"/>
        <v>12</v>
      </c>
      <c r="M12">
        <v>1.5</v>
      </c>
      <c r="N12">
        <f t="shared" si="4"/>
        <v>325</v>
      </c>
      <c r="O12">
        <f t="shared" si="20"/>
        <v>203400</v>
      </c>
      <c r="P12">
        <f t="shared" si="21"/>
        <v>3520</v>
      </c>
      <c r="Q12">
        <f t="shared" si="22"/>
        <v>402.12385965949352</v>
      </c>
      <c r="R12">
        <f t="shared" si="5"/>
        <v>3922.1238596594935</v>
      </c>
      <c r="S12">
        <f t="shared" si="6"/>
        <v>10246056.296523014</v>
      </c>
      <c r="T12">
        <f t="shared" si="7"/>
        <v>51.111392904395153</v>
      </c>
      <c r="U12">
        <f t="shared" si="8"/>
        <v>234.78131426483</v>
      </c>
      <c r="V12">
        <f t="shared" si="9"/>
        <v>2.9873070437592277</v>
      </c>
      <c r="W12">
        <f t="shared" si="10"/>
        <v>1274.6902543893355</v>
      </c>
      <c r="X12">
        <v>133.80000000000001</v>
      </c>
      <c r="Y12">
        <f t="shared" si="11"/>
        <v>0.10496667683718931</v>
      </c>
      <c r="Z12" t="str">
        <f t="shared" si="12"/>
        <v>LC-C11</v>
      </c>
      <c r="AA12">
        <f t="shared" si="13"/>
        <v>490</v>
      </c>
      <c r="AB12">
        <f t="shared" si="23"/>
        <v>517.02058150931066</v>
      </c>
      <c r="AC12">
        <f t="shared" si="14"/>
        <v>588.75671369876318</v>
      </c>
      <c r="AD12">
        <f t="shared" si="15"/>
        <v>374.26531559414582</v>
      </c>
      <c r="AE12">
        <f t="shared" si="16"/>
        <v>528.69912222947028</v>
      </c>
      <c r="AF12">
        <f t="shared" si="17"/>
        <v>1356.6025316295008</v>
      </c>
      <c r="AG12">
        <f t="shared" si="18"/>
        <v>9.862874119752997E-2</v>
      </c>
    </row>
    <row r="13" spans="1:33" x14ac:dyDescent="0.25">
      <c r="A13">
        <v>12</v>
      </c>
      <c r="B13">
        <v>355</v>
      </c>
      <c r="C13">
        <v>205</v>
      </c>
      <c r="D13">
        <v>0.2</v>
      </c>
      <c r="E13">
        <v>1000</v>
      </c>
      <c r="F13">
        <v>110</v>
      </c>
      <c r="G13">
        <f t="shared" si="1"/>
        <v>150</v>
      </c>
      <c r="H13">
        <v>8</v>
      </c>
      <c r="I13">
        <f>F13/H13</f>
        <v>13.75</v>
      </c>
      <c r="J13">
        <f>SQRT(12*(1-0.3^2)*I13^2*N13/(4*PI()^2*O13))</f>
        <v>0.28906822465146947</v>
      </c>
      <c r="K13">
        <f>H13*I13/200</f>
        <v>0.55000000000000004</v>
      </c>
      <c r="L13">
        <f t="shared" ref="L13:L23" si="24">E13/1000</f>
        <v>1</v>
      </c>
      <c r="M13">
        <v>2.5</v>
      </c>
      <c r="N13">
        <f>D13*C13+(1-D13)*B13</f>
        <v>325</v>
      </c>
      <c r="O13">
        <f>193000*D13+(1-D13)*206000</f>
        <v>203400</v>
      </c>
      <c r="P13">
        <f>H13*I13*H13*4</f>
        <v>3520</v>
      </c>
      <c r="Q13">
        <f>PI()*(M13*H13)^2-PI()*((M13-1)*H13)^2</f>
        <v>804.24771931898704</v>
      </c>
      <c r="R13">
        <f>P13+Q13</f>
        <v>4324.247719318987</v>
      </c>
      <c r="S13">
        <f t="shared" si="6"/>
        <v>14118333.707433984</v>
      </c>
      <c r="T13">
        <f>SQRT(S13/R13)</f>
        <v>57.139500414724267</v>
      </c>
      <c r="U13">
        <f>E13/T13</f>
        <v>17.50102805838166</v>
      </c>
      <c r="V13">
        <f>U13/PI()*SQRT(N13/O13)</f>
        <v>0.22267932418531081</v>
      </c>
      <c r="W13">
        <f>R13*N13/1000</f>
        <v>1405.3805087786709</v>
      </c>
      <c r="X13">
        <v>1484.1</v>
      </c>
      <c r="Y13">
        <f t="shared" si="11"/>
        <v>1.0560129379407284</v>
      </c>
      <c r="Z13" t="str">
        <f t="shared" si="12"/>
        <v>LC-C12</v>
      </c>
      <c r="AA13">
        <f t="shared" si="13"/>
        <v>490</v>
      </c>
      <c r="AB13">
        <f>C13/(0.2+185*C13/193000)</f>
        <v>517.02058150931066</v>
      </c>
      <c r="AC13">
        <f t="shared" si="14"/>
        <v>519.7880493042129</v>
      </c>
      <c r="AD13">
        <f t="shared" si="15"/>
        <v>325.88344850615891</v>
      </c>
      <c r="AE13">
        <f t="shared" si="16"/>
        <v>473.25094511267991</v>
      </c>
      <c r="AF13">
        <f>(AE13*Q13+N13*P13)/1000</f>
        <v>1524.610993272428</v>
      </c>
      <c r="AG13">
        <f t="shared" si="18"/>
        <v>0.97342863625463227</v>
      </c>
    </row>
    <row r="14" spans="1:33" x14ac:dyDescent="0.25">
      <c r="A14">
        <v>13</v>
      </c>
      <c r="B14">
        <v>355</v>
      </c>
      <c r="C14">
        <v>205</v>
      </c>
      <c r="D14">
        <v>0.2</v>
      </c>
      <c r="E14">
        <v>2000</v>
      </c>
      <c r="F14">
        <v>110</v>
      </c>
      <c r="G14">
        <f t="shared" si="1"/>
        <v>150</v>
      </c>
      <c r="H14">
        <v>8</v>
      </c>
      <c r="I14">
        <f t="shared" ref="I14:I23" si="25">F14/H14</f>
        <v>13.75</v>
      </c>
      <c r="J14">
        <f>SQRT(12*(1-0.3^2)*I14^2*N14/(4*PI()^2*O14))</f>
        <v>0.28906822465146947</v>
      </c>
      <c r="K14">
        <f t="shared" ref="K14:K23" si="26">H14*I14/200</f>
        <v>0.55000000000000004</v>
      </c>
      <c r="L14">
        <f t="shared" si="24"/>
        <v>2</v>
      </c>
      <c r="M14">
        <v>2.5</v>
      </c>
      <c r="N14">
        <f t="shared" ref="N14:N23" si="27">D14*C14+(1-D14)*B14</f>
        <v>325</v>
      </c>
      <c r="O14">
        <f>193000*D14+(1-D14)*206000</f>
        <v>203400</v>
      </c>
      <c r="P14">
        <f>H14*I14*H14*4</f>
        <v>3520</v>
      </c>
      <c r="Q14">
        <f>PI()*(M14*H14)^2-PI()*((M14-1)*H14)^2</f>
        <v>804.24771931898704</v>
      </c>
      <c r="R14">
        <f t="shared" ref="R14:R23" si="28">P14+Q14</f>
        <v>4324.247719318987</v>
      </c>
      <c r="S14">
        <f t="shared" si="6"/>
        <v>14118333.707433984</v>
      </c>
      <c r="T14">
        <f t="shared" ref="T14:T23" si="29">SQRT(S14/R14)</f>
        <v>57.139500414724267</v>
      </c>
      <c r="U14">
        <f t="shared" ref="U14:U23" si="30">E14/T14</f>
        <v>35.00205611676332</v>
      </c>
      <c r="V14">
        <f t="shared" ref="V14:V23" si="31">U14/PI()*SQRT(N14/O14)</f>
        <v>0.44535864837062161</v>
      </c>
      <c r="W14">
        <f t="shared" ref="W14:W23" si="32">R14*N14/1000</f>
        <v>1405.3805087786709</v>
      </c>
      <c r="X14">
        <v>1277.2</v>
      </c>
      <c r="Y14">
        <f t="shared" si="11"/>
        <v>0.90879302226123471</v>
      </c>
      <c r="Z14" t="str">
        <f t="shared" si="12"/>
        <v>LC-C13</v>
      </c>
      <c r="AA14">
        <f t="shared" si="13"/>
        <v>490</v>
      </c>
      <c r="AB14">
        <f>C14/(0.2+185*C14/193000)</f>
        <v>517.02058150931066</v>
      </c>
      <c r="AC14">
        <f t="shared" si="14"/>
        <v>519.7880493042129</v>
      </c>
      <c r="AD14">
        <f t="shared" si="15"/>
        <v>325.88344850615891</v>
      </c>
      <c r="AE14">
        <f t="shared" si="16"/>
        <v>473.25094511267991</v>
      </c>
      <c r="AF14">
        <f t="shared" ref="AF14:AF21" si="33">(AE14*Q14+N14*P14)/1000</f>
        <v>1524.610993272428</v>
      </c>
      <c r="AG14">
        <f t="shared" si="18"/>
        <v>0.83772188816415094</v>
      </c>
    </row>
    <row r="15" spans="1:33" x14ac:dyDescent="0.25">
      <c r="A15">
        <v>14</v>
      </c>
      <c r="B15">
        <v>355</v>
      </c>
      <c r="C15">
        <v>205</v>
      </c>
      <c r="D15">
        <v>0.2</v>
      </c>
      <c r="E15">
        <v>3000</v>
      </c>
      <c r="F15">
        <v>110</v>
      </c>
      <c r="G15">
        <f t="shared" si="1"/>
        <v>150</v>
      </c>
      <c r="H15">
        <v>8</v>
      </c>
      <c r="I15">
        <f t="shared" si="25"/>
        <v>13.75</v>
      </c>
      <c r="J15">
        <f>SQRT(12*(1-0.3^2)*I15^2*N15/(4*PI()^2*O15))</f>
        <v>0.28906822465146947</v>
      </c>
      <c r="K15">
        <f t="shared" si="26"/>
        <v>0.55000000000000004</v>
      </c>
      <c r="L15">
        <f t="shared" si="24"/>
        <v>3</v>
      </c>
      <c r="M15">
        <v>2.5</v>
      </c>
      <c r="N15">
        <f t="shared" si="27"/>
        <v>325</v>
      </c>
      <c r="O15">
        <f>193000*D15+(1-D15)*206000</f>
        <v>203400</v>
      </c>
      <c r="P15">
        <f>H15*I15*H15*4</f>
        <v>3520</v>
      </c>
      <c r="Q15">
        <f>PI()*(M15*H15)^2-PI()*((M15-1)*H15)^2</f>
        <v>804.24771931898704</v>
      </c>
      <c r="R15">
        <f t="shared" si="28"/>
        <v>4324.247719318987</v>
      </c>
      <c r="S15">
        <f t="shared" si="6"/>
        <v>14118333.707433984</v>
      </c>
      <c r="T15">
        <f t="shared" si="29"/>
        <v>57.139500414724267</v>
      </c>
      <c r="U15">
        <f t="shared" si="30"/>
        <v>52.503084175144984</v>
      </c>
      <c r="V15">
        <f t="shared" si="31"/>
        <v>0.66803797255593245</v>
      </c>
      <c r="W15">
        <f t="shared" si="32"/>
        <v>1405.3805087786709</v>
      </c>
      <c r="X15">
        <v>1116.5999999999999</v>
      </c>
      <c r="Y15">
        <f t="shared" si="11"/>
        <v>0.79451792096531049</v>
      </c>
      <c r="Z15" t="str">
        <f t="shared" si="12"/>
        <v>LC-C14</v>
      </c>
      <c r="AA15">
        <f t="shared" si="13"/>
        <v>490</v>
      </c>
      <c r="AB15">
        <f>C15/(0.2+185*C15/193000)</f>
        <v>517.02058150931066</v>
      </c>
      <c r="AC15">
        <f t="shared" si="14"/>
        <v>519.7880493042129</v>
      </c>
      <c r="AD15">
        <f t="shared" si="15"/>
        <v>325.88344850615891</v>
      </c>
      <c r="AE15">
        <f t="shared" si="16"/>
        <v>473.25094511267991</v>
      </c>
      <c r="AF15">
        <f t="shared" si="33"/>
        <v>1524.610993272428</v>
      </c>
      <c r="AG15">
        <f t="shared" si="18"/>
        <v>0.73238354237714598</v>
      </c>
    </row>
    <row r="16" spans="1:33" x14ac:dyDescent="0.25">
      <c r="A16">
        <v>15</v>
      </c>
      <c r="B16">
        <v>355</v>
      </c>
      <c r="C16">
        <v>205</v>
      </c>
      <c r="D16">
        <v>0.2</v>
      </c>
      <c r="E16">
        <v>4000</v>
      </c>
      <c r="F16">
        <v>110</v>
      </c>
      <c r="G16">
        <f t="shared" si="1"/>
        <v>150</v>
      </c>
      <c r="H16">
        <v>8</v>
      </c>
      <c r="I16">
        <f t="shared" si="25"/>
        <v>13.75</v>
      </c>
      <c r="J16">
        <f t="shared" ref="J16:J23" si="34">SQRT(12*(1-0.3^2)*I16^2*N16/(4*PI()^2*O16))</f>
        <v>0.28906822465146947</v>
      </c>
      <c r="K16">
        <f t="shared" si="26"/>
        <v>0.55000000000000004</v>
      </c>
      <c r="L16">
        <f t="shared" si="24"/>
        <v>4</v>
      </c>
      <c r="M16">
        <v>2.5</v>
      </c>
      <c r="N16">
        <f t="shared" si="27"/>
        <v>325</v>
      </c>
      <c r="O16">
        <f t="shared" ref="O16:O23" si="35">193000*D16+(1-D16)*206000</f>
        <v>203400</v>
      </c>
      <c r="P16">
        <f t="shared" ref="P16:P23" si="36">H16*I16*H16*4</f>
        <v>3520</v>
      </c>
      <c r="Q16">
        <f t="shared" ref="Q16:Q23" si="37">PI()*(M16*H16)^2-PI()*((M16-1)*H16)^2</f>
        <v>804.24771931898704</v>
      </c>
      <c r="R16">
        <f t="shared" si="28"/>
        <v>4324.247719318987</v>
      </c>
      <c r="S16">
        <f t="shared" si="6"/>
        <v>14118333.707433984</v>
      </c>
      <c r="T16">
        <f t="shared" si="29"/>
        <v>57.139500414724267</v>
      </c>
      <c r="U16">
        <f t="shared" si="30"/>
        <v>70.004112233526641</v>
      </c>
      <c r="V16">
        <f t="shared" si="31"/>
        <v>0.89071729674124323</v>
      </c>
      <c r="W16">
        <f t="shared" si="32"/>
        <v>1405.3805087786709</v>
      </c>
      <c r="X16">
        <v>962.3</v>
      </c>
      <c r="Y16">
        <f t="shared" si="11"/>
        <v>0.68472559138896505</v>
      </c>
      <c r="Z16" t="str">
        <f t="shared" si="12"/>
        <v>LC-C15</v>
      </c>
      <c r="AA16">
        <f t="shared" si="13"/>
        <v>490</v>
      </c>
      <c r="AB16">
        <f t="shared" ref="AB16:AB21" si="38">C16/(0.2+185*C16/193000)</f>
        <v>517.02058150931066</v>
      </c>
      <c r="AC16">
        <f t="shared" si="14"/>
        <v>519.7880493042129</v>
      </c>
      <c r="AD16">
        <f t="shared" si="15"/>
        <v>325.88344850615891</v>
      </c>
      <c r="AE16">
        <f t="shared" si="16"/>
        <v>473.25094511267991</v>
      </c>
      <c r="AF16">
        <f t="shared" si="33"/>
        <v>1524.610993272428</v>
      </c>
      <c r="AG16">
        <f t="shared" si="18"/>
        <v>0.6311773981994695</v>
      </c>
    </row>
    <row r="17" spans="1:33" x14ac:dyDescent="0.25">
      <c r="A17">
        <v>16</v>
      </c>
      <c r="B17">
        <v>355</v>
      </c>
      <c r="C17">
        <v>205</v>
      </c>
      <c r="D17">
        <v>0.2</v>
      </c>
      <c r="E17">
        <v>5000</v>
      </c>
      <c r="F17">
        <v>110</v>
      </c>
      <c r="G17">
        <f t="shared" si="1"/>
        <v>150</v>
      </c>
      <c r="H17">
        <v>8</v>
      </c>
      <c r="I17">
        <f t="shared" si="25"/>
        <v>13.75</v>
      </c>
      <c r="J17">
        <f t="shared" si="34"/>
        <v>0.28906822465146947</v>
      </c>
      <c r="K17">
        <f t="shared" si="26"/>
        <v>0.55000000000000004</v>
      </c>
      <c r="L17">
        <f t="shared" si="24"/>
        <v>5</v>
      </c>
      <c r="M17">
        <v>2.5</v>
      </c>
      <c r="N17">
        <f t="shared" si="27"/>
        <v>325</v>
      </c>
      <c r="O17">
        <f t="shared" si="35"/>
        <v>203400</v>
      </c>
      <c r="P17">
        <f t="shared" si="36"/>
        <v>3520</v>
      </c>
      <c r="Q17">
        <f t="shared" si="37"/>
        <v>804.24771931898704</v>
      </c>
      <c r="R17">
        <f t="shared" si="28"/>
        <v>4324.247719318987</v>
      </c>
      <c r="S17">
        <f t="shared" si="6"/>
        <v>14118333.707433984</v>
      </c>
      <c r="T17">
        <f t="shared" si="29"/>
        <v>57.139500414724267</v>
      </c>
      <c r="U17">
        <f t="shared" si="30"/>
        <v>87.505140291908305</v>
      </c>
      <c r="V17">
        <f t="shared" si="31"/>
        <v>1.113396620926554</v>
      </c>
      <c r="W17">
        <f t="shared" si="32"/>
        <v>1405.3805087786709</v>
      </c>
      <c r="X17">
        <v>799.9</v>
      </c>
      <c r="Y17">
        <f t="shared" si="11"/>
        <v>0.56916969817316132</v>
      </c>
      <c r="Z17" t="str">
        <f t="shared" si="12"/>
        <v>LC-C16</v>
      </c>
      <c r="AA17">
        <f t="shared" si="13"/>
        <v>490</v>
      </c>
      <c r="AB17">
        <f t="shared" si="38"/>
        <v>517.02058150931066</v>
      </c>
      <c r="AC17">
        <f t="shared" si="14"/>
        <v>519.7880493042129</v>
      </c>
      <c r="AD17">
        <f t="shared" si="15"/>
        <v>325.88344850615891</v>
      </c>
      <c r="AE17">
        <f t="shared" si="16"/>
        <v>473.25094511267991</v>
      </c>
      <c r="AF17">
        <f t="shared" si="33"/>
        <v>1524.610993272428</v>
      </c>
      <c r="AG17">
        <f t="shared" si="18"/>
        <v>0.52465842338122792</v>
      </c>
    </row>
    <row r="18" spans="1:33" x14ac:dyDescent="0.25">
      <c r="A18">
        <v>17</v>
      </c>
      <c r="B18">
        <v>355</v>
      </c>
      <c r="C18">
        <v>205</v>
      </c>
      <c r="D18">
        <v>0.2</v>
      </c>
      <c r="E18">
        <v>6000</v>
      </c>
      <c r="F18">
        <v>110</v>
      </c>
      <c r="G18">
        <f t="shared" si="1"/>
        <v>150</v>
      </c>
      <c r="H18">
        <v>8</v>
      </c>
      <c r="I18">
        <f t="shared" si="25"/>
        <v>13.75</v>
      </c>
      <c r="J18">
        <f t="shared" si="34"/>
        <v>0.28906822465146947</v>
      </c>
      <c r="K18">
        <f t="shared" si="26"/>
        <v>0.55000000000000004</v>
      </c>
      <c r="L18">
        <f t="shared" si="24"/>
        <v>6</v>
      </c>
      <c r="M18">
        <v>2.5</v>
      </c>
      <c r="N18">
        <f t="shared" si="27"/>
        <v>325</v>
      </c>
      <c r="O18">
        <f t="shared" si="35"/>
        <v>203400</v>
      </c>
      <c r="P18">
        <f t="shared" si="36"/>
        <v>3520</v>
      </c>
      <c r="Q18">
        <f t="shared" si="37"/>
        <v>804.24771931898704</v>
      </c>
      <c r="R18">
        <f t="shared" si="28"/>
        <v>4324.247719318987</v>
      </c>
      <c r="S18">
        <f t="shared" si="6"/>
        <v>14118333.707433984</v>
      </c>
      <c r="T18">
        <f t="shared" si="29"/>
        <v>57.139500414724267</v>
      </c>
      <c r="U18">
        <f t="shared" si="30"/>
        <v>105.00616835028997</v>
      </c>
      <c r="V18">
        <f t="shared" si="31"/>
        <v>1.3360759451118649</v>
      </c>
      <c r="W18">
        <f t="shared" si="32"/>
        <v>1405.3805087786709</v>
      </c>
      <c r="X18">
        <v>629.6</v>
      </c>
      <c r="Y18">
        <f t="shared" si="11"/>
        <v>0.44799255153121936</v>
      </c>
      <c r="Z18" t="str">
        <f t="shared" si="12"/>
        <v>LC-C17</v>
      </c>
      <c r="AA18">
        <f t="shared" si="13"/>
        <v>490</v>
      </c>
      <c r="AB18">
        <f t="shared" si="38"/>
        <v>517.02058150931066</v>
      </c>
      <c r="AC18">
        <f t="shared" si="14"/>
        <v>519.7880493042129</v>
      </c>
      <c r="AD18">
        <f t="shared" si="15"/>
        <v>325.88344850615891</v>
      </c>
      <c r="AE18">
        <f t="shared" si="16"/>
        <v>473.25094511267991</v>
      </c>
      <c r="AF18">
        <f t="shared" si="33"/>
        <v>1524.610993272428</v>
      </c>
      <c r="AG18">
        <f t="shared" si="18"/>
        <v>0.41295779892589213</v>
      </c>
    </row>
    <row r="19" spans="1:33" x14ac:dyDescent="0.25">
      <c r="A19">
        <v>18</v>
      </c>
      <c r="B19">
        <v>355</v>
      </c>
      <c r="C19">
        <v>205</v>
      </c>
      <c r="D19">
        <v>0.2</v>
      </c>
      <c r="E19">
        <v>7000</v>
      </c>
      <c r="F19">
        <v>110</v>
      </c>
      <c r="G19">
        <f t="shared" si="1"/>
        <v>150</v>
      </c>
      <c r="H19">
        <v>8</v>
      </c>
      <c r="I19">
        <f t="shared" si="25"/>
        <v>13.75</v>
      </c>
      <c r="J19">
        <f t="shared" si="34"/>
        <v>0.28906822465146947</v>
      </c>
      <c r="K19">
        <f t="shared" si="26"/>
        <v>0.55000000000000004</v>
      </c>
      <c r="L19">
        <f t="shared" si="24"/>
        <v>7</v>
      </c>
      <c r="M19">
        <v>2.5</v>
      </c>
      <c r="N19">
        <f t="shared" si="27"/>
        <v>325</v>
      </c>
      <c r="O19">
        <f t="shared" si="35"/>
        <v>203400</v>
      </c>
      <c r="P19">
        <f t="shared" si="36"/>
        <v>3520</v>
      </c>
      <c r="Q19">
        <f t="shared" si="37"/>
        <v>804.24771931898704</v>
      </c>
      <c r="R19">
        <f t="shared" si="28"/>
        <v>4324.247719318987</v>
      </c>
      <c r="S19">
        <f t="shared" si="6"/>
        <v>14118333.707433984</v>
      </c>
      <c r="T19">
        <f t="shared" si="29"/>
        <v>57.139500414724267</v>
      </c>
      <c r="U19">
        <f t="shared" si="30"/>
        <v>122.50719640867163</v>
      </c>
      <c r="V19">
        <f t="shared" si="31"/>
        <v>1.5587552692971756</v>
      </c>
      <c r="W19">
        <f t="shared" si="32"/>
        <v>1405.3805087786709</v>
      </c>
      <c r="X19">
        <v>493</v>
      </c>
      <c r="Y19">
        <f t="shared" si="11"/>
        <v>0.3507946758336899</v>
      </c>
      <c r="Z19" t="str">
        <f t="shared" si="12"/>
        <v>LC-C18</v>
      </c>
      <c r="AA19">
        <f t="shared" si="13"/>
        <v>490</v>
      </c>
      <c r="AB19">
        <f t="shared" si="38"/>
        <v>517.02058150931066</v>
      </c>
      <c r="AC19">
        <f t="shared" si="14"/>
        <v>519.7880493042129</v>
      </c>
      <c r="AD19">
        <f t="shared" si="15"/>
        <v>325.88344850615891</v>
      </c>
      <c r="AE19">
        <f t="shared" si="16"/>
        <v>473.25094511267991</v>
      </c>
      <c r="AF19">
        <f t="shared" si="33"/>
        <v>1524.610993272428</v>
      </c>
      <c r="AG19">
        <f t="shared" si="18"/>
        <v>0.32336117355537614</v>
      </c>
    </row>
    <row r="20" spans="1:33" x14ac:dyDescent="0.25">
      <c r="A20">
        <v>19</v>
      </c>
      <c r="B20">
        <v>355</v>
      </c>
      <c r="C20">
        <v>205</v>
      </c>
      <c r="D20">
        <v>0.2</v>
      </c>
      <c r="E20">
        <v>8000</v>
      </c>
      <c r="F20">
        <v>110</v>
      </c>
      <c r="G20">
        <f t="shared" si="1"/>
        <v>150</v>
      </c>
      <c r="H20">
        <v>8</v>
      </c>
      <c r="I20">
        <f t="shared" si="25"/>
        <v>13.75</v>
      </c>
      <c r="J20">
        <f t="shared" si="34"/>
        <v>0.28906822465146947</v>
      </c>
      <c r="K20">
        <f t="shared" si="26"/>
        <v>0.55000000000000004</v>
      </c>
      <c r="L20">
        <f t="shared" si="24"/>
        <v>8</v>
      </c>
      <c r="M20">
        <v>2.5</v>
      </c>
      <c r="N20">
        <f t="shared" si="27"/>
        <v>325</v>
      </c>
      <c r="O20">
        <f t="shared" si="35"/>
        <v>203400</v>
      </c>
      <c r="P20">
        <f t="shared" si="36"/>
        <v>3520</v>
      </c>
      <c r="Q20">
        <f t="shared" si="37"/>
        <v>804.24771931898704</v>
      </c>
      <c r="R20">
        <f t="shared" si="28"/>
        <v>4324.247719318987</v>
      </c>
      <c r="S20">
        <f t="shared" si="6"/>
        <v>14118333.707433984</v>
      </c>
      <c r="T20">
        <f t="shared" si="29"/>
        <v>57.139500414724267</v>
      </c>
      <c r="U20">
        <f t="shared" si="30"/>
        <v>140.00822446705328</v>
      </c>
      <c r="V20">
        <f t="shared" si="31"/>
        <v>1.7814345934824865</v>
      </c>
      <c r="W20">
        <f t="shared" si="32"/>
        <v>1405.3805087786709</v>
      </c>
      <c r="X20">
        <v>390.3</v>
      </c>
      <c r="Y20">
        <f t="shared" si="11"/>
        <v>0.27771838129389281</v>
      </c>
      <c r="Z20" t="str">
        <f t="shared" si="12"/>
        <v>LC-C19</v>
      </c>
      <c r="AA20">
        <f t="shared" si="13"/>
        <v>490</v>
      </c>
      <c r="AB20">
        <f t="shared" si="38"/>
        <v>517.02058150931066</v>
      </c>
      <c r="AC20">
        <f t="shared" si="14"/>
        <v>519.7880493042129</v>
      </c>
      <c r="AD20">
        <f t="shared" si="15"/>
        <v>325.88344850615891</v>
      </c>
      <c r="AE20">
        <f t="shared" si="16"/>
        <v>473.25094511267991</v>
      </c>
      <c r="AF20">
        <f t="shared" si="33"/>
        <v>1524.610993272428</v>
      </c>
      <c r="AG20">
        <f t="shared" si="18"/>
        <v>0.25599972827315076</v>
      </c>
    </row>
    <row r="21" spans="1:33" x14ac:dyDescent="0.25">
      <c r="A21">
        <v>20</v>
      </c>
      <c r="B21">
        <v>355</v>
      </c>
      <c r="C21">
        <v>205</v>
      </c>
      <c r="D21">
        <v>0.2</v>
      </c>
      <c r="E21">
        <v>9000</v>
      </c>
      <c r="F21">
        <v>110</v>
      </c>
      <c r="G21">
        <f t="shared" si="1"/>
        <v>150</v>
      </c>
      <c r="H21">
        <v>8</v>
      </c>
      <c r="I21">
        <f t="shared" si="25"/>
        <v>13.75</v>
      </c>
      <c r="J21">
        <f t="shared" si="34"/>
        <v>0.28906822465146947</v>
      </c>
      <c r="K21">
        <f t="shared" si="26"/>
        <v>0.55000000000000004</v>
      </c>
      <c r="L21">
        <f t="shared" si="24"/>
        <v>9</v>
      </c>
      <c r="M21">
        <v>2.5</v>
      </c>
      <c r="N21">
        <f t="shared" si="27"/>
        <v>325</v>
      </c>
      <c r="O21">
        <f t="shared" si="35"/>
        <v>203400</v>
      </c>
      <c r="P21">
        <f t="shared" si="36"/>
        <v>3520</v>
      </c>
      <c r="Q21">
        <f t="shared" si="37"/>
        <v>804.24771931898704</v>
      </c>
      <c r="R21">
        <f t="shared" si="28"/>
        <v>4324.247719318987</v>
      </c>
      <c r="S21">
        <f t="shared" si="6"/>
        <v>14118333.707433984</v>
      </c>
      <c r="T21">
        <f t="shared" si="29"/>
        <v>57.139500414724267</v>
      </c>
      <c r="U21">
        <f t="shared" si="30"/>
        <v>157.50925252543496</v>
      </c>
      <c r="V21">
        <f t="shared" si="31"/>
        <v>2.0041139176677971</v>
      </c>
      <c r="W21">
        <f t="shared" si="32"/>
        <v>1405.3805087786709</v>
      </c>
      <c r="X21">
        <v>314.8</v>
      </c>
      <c r="Y21">
        <f t="shared" si="11"/>
        <v>0.22399627576560968</v>
      </c>
      <c r="Z21" t="str">
        <f t="shared" si="12"/>
        <v>LC-C20</v>
      </c>
      <c r="AA21">
        <f t="shared" si="13"/>
        <v>490</v>
      </c>
      <c r="AB21">
        <f t="shared" si="38"/>
        <v>517.02058150931066</v>
      </c>
      <c r="AC21">
        <f t="shared" si="14"/>
        <v>519.7880493042129</v>
      </c>
      <c r="AD21">
        <f t="shared" si="15"/>
        <v>325.88344850615891</v>
      </c>
      <c r="AE21">
        <f t="shared" si="16"/>
        <v>473.25094511267991</v>
      </c>
      <c r="AF21">
        <f t="shared" si="33"/>
        <v>1524.610993272428</v>
      </c>
      <c r="AG21">
        <f t="shared" si="18"/>
        <v>0.20647889946294606</v>
      </c>
    </row>
    <row r="22" spans="1:33" x14ac:dyDescent="0.25">
      <c r="A22">
        <v>21</v>
      </c>
      <c r="B22">
        <v>355</v>
      </c>
      <c r="C22">
        <v>205</v>
      </c>
      <c r="D22">
        <v>0.2</v>
      </c>
      <c r="E22">
        <v>10000</v>
      </c>
      <c r="F22">
        <v>110</v>
      </c>
      <c r="G22">
        <f t="shared" si="1"/>
        <v>150</v>
      </c>
      <c r="H22">
        <v>8</v>
      </c>
      <c r="I22">
        <f t="shared" si="25"/>
        <v>13.75</v>
      </c>
      <c r="J22">
        <f t="shared" si="34"/>
        <v>0.28906822465146947</v>
      </c>
      <c r="K22">
        <f t="shared" si="26"/>
        <v>0.55000000000000004</v>
      </c>
      <c r="L22">
        <f t="shared" si="24"/>
        <v>10</v>
      </c>
      <c r="M22">
        <v>2.5</v>
      </c>
      <c r="N22">
        <f t="shared" si="27"/>
        <v>325</v>
      </c>
      <c r="O22">
        <f t="shared" si="35"/>
        <v>203400</v>
      </c>
      <c r="P22">
        <f t="shared" si="36"/>
        <v>3520</v>
      </c>
      <c r="Q22">
        <f t="shared" si="37"/>
        <v>804.24771931898704</v>
      </c>
      <c r="R22">
        <f t="shared" si="28"/>
        <v>4324.247719318987</v>
      </c>
      <c r="S22">
        <f t="shared" si="6"/>
        <v>14118333.707433984</v>
      </c>
      <c r="T22">
        <f t="shared" si="29"/>
        <v>57.139500414724267</v>
      </c>
      <c r="U22">
        <f t="shared" si="30"/>
        <v>175.01028058381661</v>
      </c>
      <c r="V22">
        <f t="shared" si="31"/>
        <v>2.226793241853108</v>
      </c>
      <c r="W22">
        <f t="shared" si="32"/>
        <v>1405.3805087786709</v>
      </c>
      <c r="X22">
        <v>258.7</v>
      </c>
      <c r="Y22">
        <f t="shared" si="11"/>
        <v>0.18407826092936219</v>
      </c>
      <c r="Z22" t="str">
        <f t="shared" si="12"/>
        <v>LC-C21</v>
      </c>
      <c r="AA22">
        <f t="shared" si="13"/>
        <v>490</v>
      </c>
      <c r="AB22">
        <f>C22/(0.2+185*C22/193000)</f>
        <v>517.02058150931066</v>
      </c>
      <c r="AC22">
        <f t="shared" si="14"/>
        <v>519.7880493042129</v>
      </c>
      <c r="AD22">
        <f t="shared" si="15"/>
        <v>325.88344850615891</v>
      </c>
      <c r="AE22">
        <f t="shared" si="16"/>
        <v>473.25094511267991</v>
      </c>
      <c r="AF22">
        <f>(AE22*Q22+N22*P22)/1000</f>
        <v>1524.610993272428</v>
      </c>
      <c r="AG22">
        <f t="shared" si="18"/>
        <v>0.16968262798940326</v>
      </c>
    </row>
    <row r="23" spans="1:33" x14ac:dyDescent="0.25">
      <c r="A23">
        <v>22</v>
      </c>
      <c r="B23">
        <v>355</v>
      </c>
      <c r="C23">
        <v>205</v>
      </c>
      <c r="D23">
        <v>0.2</v>
      </c>
      <c r="E23">
        <v>12000</v>
      </c>
      <c r="F23">
        <v>110</v>
      </c>
      <c r="G23">
        <f t="shared" si="1"/>
        <v>150</v>
      </c>
      <c r="H23">
        <v>8</v>
      </c>
      <c r="I23">
        <f t="shared" si="25"/>
        <v>13.75</v>
      </c>
      <c r="J23">
        <f t="shared" si="34"/>
        <v>0.28906822465146947</v>
      </c>
      <c r="K23">
        <f t="shared" si="26"/>
        <v>0.55000000000000004</v>
      </c>
      <c r="L23">
        <f t="shared" si="24"/>
        <v>12</v>
      </c>
      <c r="M23">
        <v>2.5</v>
      </c>
      <c r="N23">
        <f t="shared" si="27"/>
        <v>325</v>
      </c>
      <c r="O23">
        <f t="shared" si="35"/>
        <v>203400</v>
      </c>
      <c r="P23">
        <f t="shared" si="36"/>
        <v>3520</v>
      </c>
      <c r="Q23">
        <f t="shared" si="37"/>
        <v>804.24771931898704</v>
      </c>
      <c r="R23">
        <f t="shared" si="28"/>
        <v>4324.247719318987</v>
      </c>
      <c r="S23">
        <f t="shared" si="6"/>
        <v>14118333.707433984</v>
      </c>
      <c r="T23">
        <f t="shared" si="29"/>
        <v>57.139500414724267</v>
      </c>
      <c r="U23">
        <f t="shared" si="30"/>
        <v>210.01233670057994</v>
      </c>
      <c r="V23">
        <f t="shared" si="31"/>
        <v>2.6721518902237298</v>
      </c>
      <c r="W23">
        <f t="shared" si="32"/>
        <v>1405.3805087786709</v>
      </c>
      <c r="X23">
        <v>183</v>
      </c>
      <c r="Y23">
        <f t="shared" si="11"/>
        <v>0.13021384518775911</v>
      </c>
      <c r="Z23" t="str">
        <f t="shared" si="12"/>
        <v>LC-C22</v>
      </c>
      <c r="AA23">
        <f t="shared" si="13"/>
        <v>490</v>
      </c>
      <c r="AB23">
        <f>C23/(0.2+185*C23/193000)</f>
        <v>517.02058150931066</v>
      </c>
      <c r="AC23">
        <f t="shared" si="14"/>
        <v>519.7880493042129</v>
      </c>
      <c r="AD23">
        <f t="shared" si="15"/>
        <v>325.88344850615891</v>
      </c>
      <c r="AE23">
        <f t="shared" si="16"/>
        <v>473.25094511267991</v>
      </c>
      <c r="AF23">
        <f t="shared" ref="AF23:AF30" si="39">(AE23*Q23+N23*P23)/1000</f>
        <v>1524.610993272428</v>
      </c>
      <c r="AG23">
        <f t="shared" si="18"/>
        <v>0.12003061817572785</v>
      </c>
    </row>
    <row r="24" spans="1:33" x14ac:dyDescent="0.25">
      <c r="A24">
        <v>23</v>
      </c>
      <c r="B24">
        <v>355</v>
      </c>
      <c r="C24">
        <v>205</v>
      </c>
      <c r="D24">
        <v>0.2</v>
      </c>
      <c r="E24">
        <v>1000</v>
      </c>
      <c r="F24">
        <v>110</v>
      </c>
      <c r="G24">
        <f t="shared" si="1"/>
        <v>166</v>
      </c>
      <c r="H24">
        <v>8</v>
      </c>
      <c r="I24">
        <f>F24/H24</f>
        <v>13.75</v>
      </c>
      <c r="J24">
        <f>SQRT(12*(1-0.3^2)*I24^2*N24/(4*PI()^2*O24))</f>
        <v>0.28906822465146947</v>
      </c>
      <c r="K24">
        <f>H24*I24/200</f>
        <v>0.55000000000000004</v>
      </c>
      <c r="L24">
        <f t="shared" ref="L24:L56" si="40">E24/1000</f>
        <v>1</v>
      </c>
      <c r="M24">
        <v>3.5</v>
      </c>
      <c r="N24">
        <f>D24*C24+(1-D24)*B24</f>
        <v>325</v>
      </c>
      <c r="O24">
        <f>193000*D24+(1-D24)*206000</f>
        <v>203400</v>
      </c>
      <c r="P24">
        <f>H24*I24*H24*4</f>
        <v>3520</v>
      </c>
      <c r="Q24">
        <f>PI()*(M24*H24)^2-PI()*((M24-1)*H24)^2</f>
        <v>1206.3715789784803</v>
      </c>
      <c r="R24">
        <f>P24+Q24</f>
        <v>4726.3715789784801</v>
      </c>
      <c r="S24">
        <f t="shared" si="6"/>
        <v>18820866.680454198</v>
      </c>
      <c r="T24">
        <f>SQRT(S24/R24)</f>
        <v>63.103853127657828</v>
      </c>
      <c r="U24">
        <f>E24/T24</f>
        <v>15.846892866859019</v>
      </c>
      <c r="V24">
        <f>U24/PI()*SQRT(N24/O24)</f>
        <v>0.20163246309059962</v>
      </c>
      <c r="W24">
        <f>R24*N24/1000</f>
        <v>1536.0707631680059</v>
      </c>
      <c r="X24">
        <v>1649.1</v>
      </c>
      <c r="Y24">
        <f t="shared" si="11"/>
        <v>1.0735833527609637</v>
      </c>
      <c r="Z24" t="str">
        <f t="shared" si="12"/>
        <v>LC-C23</v>
      </c>
      <c r="AA24">
        <f t="shared" si="13"/>
        <v>490</v>
      </c>
      <c r="AB24">
        <f>C24/(0.2+185*C24/193000)</f>
        <v>517.02058150931066</v>
      </c>
      <c r="AC24">
        <f t="shared" si="14"/>
        <v>490.5313485704678</v>
      </c>
      <c r="AD24">
        <f t="shared" si="15"/>
        <v>305.56904784310274</v>
      </c>
      <c r="AE24">
        <f t="shared" si="16"/>
        <v>448.60656040559837</v>
      </c>
      <c r="AF24">
        <f t="shared" si="39"/>
        <v>1685.1862046166068</v>
      </c>
      <c r="AG24">
        <f t="shared" si="18"/>
        <v>0.97858622120348016</v>
      </c>
    </row>
    <row r="25" spans="1:33" x14ac:dyDescent="0.25">
      <c r="A25">
        <v>24</v>
      </c>
      <c r="B25">
        <v>355</v>
      </c>
      <c r="C25">
        <v>205</v>
      </c>
      <c r="D25">
        <v>0.2</v>
      </c>
      <c r="E25">
        <v>2000</v>
      </c>
      <c r="F25">
        <v>110</v>
      </c>
      <c r="G25">
        <f t="shared" si="1"/>
        <v>166</v>
      </c>
      <c r="H25">
        <v>8</v>
      </c>
      <c r="I25">
        <f t="shared" ref="I25:I34" si="41">F25/H25</f>
        <v>13.75</v>
      </c>
      <c r="J25">
        <f>SQRT(12*(1-0.3^2)*I25^2*N25/(4*PI()^2*O25))</f>
        <v>0.28906822465146947</v>
      </c>
      <c r="K25">
        <f t="shared" ref="K25:K34" si="42">H25*I25/200</f>
        <v>0.55000000000000004</v>
      </c>
      <c r="L25">
        <f t="shared" si="40"/>
        <v>2</v>
      </c>
      <c r="M25">
        <v>3.5</v>
      </c>
      <c r="N25">
        <f t="shared" ref="N25:N34" si="43">D25*C25+(1-D25)*B25</f>
        <v>325</v>
      </c>
      <c r="O25">
        <f>193000*D25+(1-D25)*206000</f>
        <v>203400</v>
      </c>
      <c r="P25">
        <f>H25*I25*H25*4</f>
        <v>3520</v>
      </c>
      <c r="Q25">
        <f>PI()*(M25*H25)^2-PI()*((M25-1)*H25)^2</f>
        <v>1206.3715789784803</v>
      </c>
      <c r="R25">
        <f t="shared" ref="R25:R34" si="44">P25+Q25</f>
        <v>4726.3715789784801</v>
      </c>
      <c r="S25">
        <f t="shared" si="6"/>
        <v>18820866.680454198</v>
      </c>
      <c r="T25">
        <f t="shared" ref="T25:T34" si="45">SQRT(S25/R25)</f>
        <v>63.103853127657828</v>
      </c>
      <c r="U25">
        <f t="shared" ref="U25:U34" si="46">E25/T25</f>
        <v>31.693785733718038</v>
      </c>
      <c r="V25">
        <f t="shared" ref="V25:V34" si="47">U25/PI()*SQRT(N25/O25)</f>
        <v>0.40326492618119925</v>
      </c>
      <c r="W25">
        <f t="shared" ref="W25:W34" si="48">R25*N25/1000</f>
        <v>1536.0707631680059</v>
      </c>
      <c r="X25">
        <v>1453.3</v>
      </c>
      <c r="Y25">
        <f t="shared" si="11"/>
        <v>0.94611526685313718</v>
      </c>
      <c r="Z25" t="str">
        <f t="shared" si="12"/>
        <v>LC-C24</v>
      </c>
      <c r="AA25">
        <f t="shared" si="13"/>
        <v>490</v>
      </c>
      <c r="AB25">
        <f t="shared" ref="AB25:AB30" si="49">C25/(0.2+185*C25/193000)</f>
        <v>517.02058150931066</v>
      </c>
      <c r="AC25">
        <f t="shared" si="14"/>
        <v>490.5313485704678</v>
      </c>
      <c r="AD25">
        <f t="shared" si="15"/>
        <v>305.56904784310274</v>
      </c>
      <c r="AE25">
        <f t="shared" si="16"/>
        <v>448.60656040559837</v>
      </c>
      <c r="AF25">
        <f t="shared" si="39"/>
        <v>1685.1862046166068</v>
      </c>
      <c r="AG25">
        <f t="shared" si="18"/>
        <v>0.86239728050149644</v>
      </c>
    </row>
    <row r="26" spans="1:33" x14ac:dyDescent="0.25">
      <c r="A26">
        <v>25</v>
      </c>
      <c r="B26">
        <v>355</v>
      </c>
      <c r="C26">
        <v>205</v>
      </c>
      <c r="D26">
        <v>0.2</v>
      </c>
      <c r="E26">
        <v>3000</v>
      </c>
      <c r="F26">
        <v>110</v>
      </c>
      <c r="G26">
        <f t="shared" si="1"/>
        <v>166</v>
      </c>
      <c r="H26">
        <v>8</v>
      </c>
      <c r="I26">
        <f t="shared" si="41"/>
        <v>13.75</v>
      </c>
      <c r="J26">
        <f>SQRT(12*(1-0.3^2)*I26^2*N26/(4*PI()^2*O26))</f>
        <v>0.28906822465146947</v>
      </c>
      <c r="K26">
        <f t="shared" si="42"/>
        <v>0.55000000000000004</v>
      </c>
      <c r="L26">
        <f t="shared" si="40"/>
        <v>3</v>
      </c>
      <c r="M26">
        <v>3.5</v>
      </c>
      <c r="N26">
        <f t="shared" si="43"/>
        <v>325</v>
      </c>
      <c r="O26">
        <f>193000*D26+(1-D26)*206000</f>
        <v>203400</v>
      </c>
      <c r="P26">
        <f>H26*I26*H26*4</f>
        <v>3520</v>
      </c>
      <c r="Q26">
        <f>PI()*(M26*H26)^2-PI()*((M26-1)*H26)^2</f>
        <v>1206.3715789784803</v>
      </c>
      <c r="R26">
        <f t="shared" si="44"/>
        <v>4726.3715789784801</v>
      </c>
      <c r="S26">
        <f t="shared" si="6"/>
        <v>18820866.680454198</v>
      </c>
      <c r="T26">
        <f t="shared" si="45"/>
        <v>63.103853127657828</v>
      </c>
      <c r="U26">
        <f t="shared" si="46"/>
        <v>47.540678600577053</v>
      </c>
      <c r="V26">
        <f t="shared" si="47"/>
        <v>0.60489738927179881</v>
      </c>
      <c r="W26">
        <f t="shared" si="48"/>
        <v>1536.0707631680059</v>
      </c>
      <c r="X26">
        <v>1300.5</v>
      </c>
      <c r="Y26">
        <f t="shared" si="11"/>
        <v>0.84664068295775474</v>
      </c>
      <c r="Z26" t="str">
        <f t="shared" si="12"/>
        <v>LC-C25</v>
      </c>
      <c r="AA26">
        <f t="shared" si="13"/>
        <v>490</v>
      </c>
      <c r="AB26">
        <f t="shared" si="49"/>
        <v>517.02058150931066</v>
      </c>
      <c r="AC26">
        <f t="shared" si="14"/>
        <v>490.5313485704678</v>
      </c>
      <c r="AD26">
        <f t="shared" si="15"/>
        <v>305.56904784310274</v>
      </c>
      <c r="AE26">
        <f t="shared" si="16"/>
        <v>448.60656040559837</v>
      </c>
      <c r="AF26">
        <f t="shared" si="39"/>
        <v>1685.1862046166068</v>
      </c>
      <c r="AG26">
        <f t="shared" si="18"/>
        <v>0.7717248078801322</v>
      </c>
    </row>
    <row r="27" spans="1:33" x14ac:dyDescent="0.25">
      <c r="A27">
        <v>26</v>
      </c>
      <c r="B27">
        <v>355</v>
      </c>
      <c r="C27">
        <v>205</v>
      </c>
      <c r="D27">
        <v>0.2</v>
      </c>
      <c r="E27">
        <v>4000</v>
      </c>
      <c r="F27">
        <v>110</v>
      </c>
      <c r="G27">
        <f t="shared" si="1"/>
        <v>166</v>
      </c>
      <c r="H27">
        <v>8</v>
      </c>
      <c r="I27">
        <f t="shared" si="41"/>
        <v>13.75</v>
      </c>
      <c r="J27">
        <f t="shared" ref="J27:J34" si="50">SQRT(12*(1-0.3^2)*I27^2*N27/(4*PI()^2*O27))</f>
        <v>0.28906822465146947</v>
      </c>
      <c r="K27">
        <f t="shared" si="42"/>
        <v>0.55000000000000004</v>
      </c>
      <c r="L27">
        <f t="shared" si="40"/>
        <v>4</v>
      </c>
      <c r="M27">
        <v>3.5</v>
      </c>
      <c r="N27">
        <f t="shared" si="43"/>
        <v>325</v>
      </c>
      <c r="O27">
        <f t="shared" ref="O27:O34" si="51">193000*D27+(1-D27)*206000</f>
        <v>203400</v>
      </c>
      <c r="P27">
        <f t="shared" ref="P27:P34" si="52">H27*I27*H27*4</f>
        <v>3520</v>
      </c>
      <c r="Q27">
        <f t="shared" ref="Q27:Q34" si="53">PI()*(M27*H27)^2-PI()*((M27-1)*H27)^2</f>
        <v>1206.3715789784803</v>
      </c>
      <c r="R27">
        <f t="shared" si="44"/>
        <v>4726.3715789784801</v>
      </c>
      <c r="S27">
        <f t="shared" si="6"/>
        <v>18820866.680454198</v>
      </c>
      <c r="T27">
        <f t="shared" si="45"/>
        <v>63.103853127657828</v>
      </c>
      <c r="U27">
        <f t="shared" si="46"/>
        <v>63.387571467436075</v>
      </c>
      <c r="V27">
        <f t="shared" si="47"/>
        <v>0.80652985236239849</v>
      </c>
      <c r="W27">
        <f t="shared" si="48"/>
        <v>1536.0707631680059</v>
      </c>
      <c r="X27">
        <v>1143.8</v>
      </c>
      <c r="Y27">
        <f t="shared" si="11"/>
        <v>0.74462715353101094</v>
      </c>
      <c r="Z27" t="str">
        <f t="shared" si="12"/>
        <v>LC-C26</v>
      </c>
      <c r="AA27">
        <f t="shared" si="13"/>
        <v>490</v>
      </c>
      <c r="AB27">
        <f t="shared" si="49"/>
        <v>517.02058150931066</v>
      </c>
      <c r="AC27">
        <f t="shared" si="14"/>
        <v>490.5313485704678</v>
      </c>
      <c r="AD27">
        <f t="shared" si="15"/>
        <v>305.56904784310274</v>
      </c>
      <c r="AE27">
        <f t="shared" si="16"/>
        <v>448.60656040559837</v>
      </c>
      <c r="AF27">
        <f t="shared" si="39"/>
        <v>1685.1862046166068</v>
      </c>
      <c r="AG27">
        <f t="shared" si="18"/>
        <v>0.67873805094447914</v>
      </c>
    </row>
    <row r="28" spans="1:33" x14ac:dyDescent="0.25">
      <c r="A28">
        <v>27</v>
      </c>
      <c r="B28">
        <v>355</v>
      </c>
      <c r="C28">
        <v>205</v>
      </c>
      <c r="D28">
        <v>0.2</v>
      </c>
      <c r="E28">
        <v>5000</v>
      </c>
      <c r="F28">
        <v>110</v>
      </c>
      <c r="G28">
        <f t="shared" si="1"/>
        <v>166</v>
      </c>
      <c r="H28">
        <v>8</v>
      </c>
      <c r="I28">
        <f t="shared" si="41"/>
        <v>13.75</v>
      </c>
      <c r="J28">
        <f t="shared" si="50"/>
        <v>0.28906822465146947</v>
      </c>
      <c r="K28">
        <f t="shared" si="42"/>
        <v>0.55000000000000004</v>
      </c>
      <c r="L28">
        <f t="shared" si="40"/>
        <v>5</v>
      </c>
      <c r="M28">
        <v>3.5</v>
      </c>
      <c r="N28">
        <f t="shared" si="43"/>
        <v>325</v>
      </c>
      <c r="O28">
        <f t="shared" si="51"/>
        <v>203400</v>
      </c>
      <c r="P28">
        <f t="shared" si="52"/>
        <v>3520</v>
      </c>
      <c r="Q28">
        <f t="shared" si="53"/>
        <v>1206.3715789784803</v>
      </c>
      <c r="R28">
        <f t="shared" si="44"/>
        <v>4726.3715789784801</v>
      </c>
      <c r="S28">
        <f t="shared" si="6"/>
        <v>18820866.680454198</v>
      </c>
      <c r="T28">
        <f t="shared" si="45"/>
        <v>63.103853127657828</v>
      </c>
      <c r="U28">
        <f t="shared" si="46"/>
        <v>79.234464334295097</v>
      </c>
      <c r="V28">
        <f t="shared" si="47"/>
        <v>1.0081623154529982</v>
      </c>
      <c r="W28">
        <f t="shared" si="48"/>
        <v>1536.0707631680059</v>
      </c>
      <c r="X28">
        <v>974.3</v>
      </c>
      <c r="Y28">
        <f t="shared" si="11"/>
        <v>0.63428067466800486</v>
      </c>
      <c r="Z28" t="str">
        <f t="shared" si="12"/>
        <v>LC-C27</v>
      </c>
      <c r="AA28">
        <f t="shared" si="13"/>
        <v>490</v>
      </c>
      <c r="AB28">
        <f t="shared" si="49"/>
        <v>517.02058150931066</v>
      </c>
      <c r="AC28">
        <f t="shared" si="14"/>
        <v>490.5313485704678</v>
      </c>
      <c r="AD28">
        <f t="shared" si="15"/>
        <v>305.56904784310274</v>
      </c>
      <c r="AE28">
        <f t="shared" si="16"/>
        <v>448.60656040559837</v>
      </c>
      <c r="AF28">
        <f t="shared" si="39"/>
        <v>1685.1862046166068</v>
      </c>
      <c r="AG28">
        <f t="shared" si="18"/>
        <v>0.57815569420808366</v>
      </c>
    </row>
    <row r="29" spans="1:33" x14ac:dyDescent="0.25">
      <c r="A29">
        <v>28</v>
      </c>
      <c r="B29">
        <v>355</v>
      </c>
      <c r="C29">
        <v>205</v>
      </c>
      <c r="D29">
        <v>0.2</v>
      </c>
      <c r="E29">
        <v>6000</v>
      </c>
      <c r="F29">
        <v>110</v>
      </c>
      <c r="G29">
        <f t="shared" si="1"/>
        <v>166</v>
      </c>
      <c r="H29">
        <v>8</v>
      </c>
      <c r="I29">
        <f t="shared" si="41"/>
        <v>13.75</v>
      </c>
      <c r="J29">
        <f t="shared" si="50"/>
        <v>0.28906822465146947</v>
      </c>
      <c r="K29">
        <f t="shared" si="42"/>
        <v>0.55000000000000004</v>
      </c>
      <c r="L29">
        <f t="shared" si="40"/>
        <v>6</v>
      </c>
      <c r="M29">
        <v>3.5</v>
      </c>
      <c r="N29">
        <f t="shared" si="43"/>
        <v>325</v>
      </c>
      <c r="O29">
        <f t="shared" si="51"/>
        <v>203400</v>
      </c>
      <c r="P29">
        <f t="shared" si="52"/>
        <v>3520</v>
      </c>
      <c r="Q29">
        <f t="shared" si="53"/>
        <v>1206.3715789784803</v>
      </c>
      <c r="R29">
        <f t="shared" si="44"/>
        <v>4726.3715789784801</v>
      </c>
      <c r="S29">
        <f t="shared" si="6"/>
        <v>18820866.680454198</v>
      </c>
      <c r="T29">
        <f t="shared" si="45"/>
        <v>63.103853127657828</v>
      </c>
      <c r="U29">
        <f t="shared" si="46"/>
        <v>95.081357201154105</v>
      </c>
      <c r="V29">
        <f t="shared" si="47"/>
        <v>1.2097947785435976</v>
      </c>
      <c r="W29">
        <f t="shared" si="48"/>
        <v>1536.0707631680059</v>
      </c>
      <c r="X29">
        <v>793</v>
      </c>
      <c r="Y29">
        <f t="shared" si="11"/>
        <v>0.51625225804344443</v>
      </c>
      <c r="Z29" t="str">
        <f t="shared" si="12"/>
        <v>LC-C28</v>
      </c>
      <c r="AA29">
        <f t="shared" si="13"/>
        <v>490</v>
      </c>
      <c r="AB29">
        <f t="shared" si="49"/>
        <v>517.02058150931066</v>
      </c>
      <c r="AC29">
        <f t="shared" si="14"/>
        <v>490.5313485704678</v>
      </c>
      <c r="AD29">
        <f t="shared" si="15"/>
        <v>305.56904784310274</v>
      </c>
      <c r="AE29">
        <f t="shared" si="16"/>
        <v>448.60656040559837</v>
      </c>
      <c r="AF29">
        <f t="shared" si="39"/>
        <v>1685.1862046166068</v>
      </c>
      <c r="AG29">
        <f t="shared" si="18"/>
        <v>0.47057114390537857</v>
      </c>
    </row>
    <row r="30" spans="1:33" x14ac:dyDescent="0.25">
      <c r="A30">
        <v>29</v>
      </c>
      <c r="B30">
        <v>355</v>
      </c>
      <c r="C30">
        <v>205</v>
      </c>
      <c r="D30">
        <v>0.2</v>
      </c>
      <c r="E30">
        <v>7000</v>
      </c>
      <c r="F30">
        <v>110</v>
      </c>
      <c r="G30">
        <f t="shared" si="1"/>
        <v>166</v>
      </c>
      <c r="H30">
        <v>8</v>
      </c>
      <c r="I30">
        <f t="shared" si="41"/>
        <v>13.75</v>
      </c>
      <c r="J30">
        <f t="shared" si="50"/>
        <v>0.28906822465146947</v>
      </c>
      <c r="K30">
        <f t="shared" si="42"/>
        <v>0.55000000000000004</v>
      </c>
      <c r="L30">
        <f t="shared" si="40"/>
        <v>7</v>
      </c>
      <c r="M30">
        <v>3.5</v>
      </c>
      <c r="N30">
        <f t="shared" si="43"/>
        <v>325</v>
      </c>
      <c r="O30">
        <f t="shared" si="51"/>
        <v>203400</v>
      </c>
      <c r="P30">
        <f t="shared" si="52"/>
        <v>3520</v>
      </c>
      <c r="Q30">
        <f t="shared" si="53"/>
        <v>1206.3715789784803</v>
      </c>
      <c r="R30">
        <f t="shared" si="44"/>
        <v>4726.3715789784801</v>
      </c>
      <c r="S30">
        <f t="shared" si="6"/>
        <v>18820866.680454198</v>
      </c>
      <c r="T30">
        <f t="shared" si="45"/>
        <v>63.103853127657828</v>
      </c>
      <c r="U30">
        <f t="shared" si="46"/>
        <v>110.92825006801313</v>
      </c>
      <c r="V30">
        <f t="shared" si="47"/>
        <v>1.4114272416341973</v>
      </c>
      <c r="W30">
        <f t="shared" si="48"/>
        <v>1536.0707631680059</v>
      </c>
      <c r="X30">
        <v>634.5</v>
      </c>
      <c r="Y30">
        <f t="shared" si="11"/>
        <v>0.41306690760222636</v>
      </c>
      <c r="Z30" t="str">
        <f t="shared" si="12"/>
        <v>LC-C29</v>
      </c>
      <c r="AA30">
        <f t="shared" si="13"/>
        <v>490</v>
      </c>
      <c r="AB30">
        <f t="shared" si="49"/>
        <v>517.02058150931066</v>
      </c>
      <c r="AC30">
        <f t="shared" si="14"/>
        <v>490.5313485704678</v>
      </c>
      <c r="AD30">
        <f t="shared" si="15"/>
        <v>305.56904784310274</v>
      </c>
      <c r="AE30">
        <f t="shared" si="16"/>
        <v>448.60656040559837</v>
      </c>
      <c r="AF30">
        <f t="shared" si="39"/>
        <v>1685.1862046166068</v>
      </c>
      <c r="AG30">
        <f t="shared" si="18"/>
        <v>0.37651625574774616</v>
      </c>
    </row>
    <row r="31" spans="1:33" x14ac:dyDescent="0.25">
      <c r="A31">
        <v>30</v>
      </c>
      <c r="B31">
        <v>355</v>
      </c>
      <c r="C31">
        <v>205</v>
      </c>
      <c r="D31">
        <v>0.2</v>
      </c>
      <c r="E31">
        <v>8000</v>
      </c>
      <c r="F31">
        <v>110</v>
      </c>
      <c r="G31">
        <f t="shared" si="1"/>
        <v>166</v>
      </c>
      <c r="H31">
        <v>8</v>
      </c>
      <c r="I31">
        <f t="shared" si="41"/>
        <v>13.75</v>
      </c>
      <c r="J31">
        <f t="shared" si="50"/>
        <v>0.28906822465146947</v>
      </c>
      <c r="K31">
        <f t="shared" si="42"/>
        <v>0.55000000000000004</v>
      </c>
      <c r="L31">
        <f t="shared" si="40"/>
        <v>8</v>
      </c>
      <c r="M31">
        <v>3.5</v>
      </c>
      <c r="N31">
        <f t="shared" si="43"/>
        <v>325</v>
      </c>
      <c r="O31">
        <f t="shared" si="51"/>
        <v>203400</v>
      </c>
      <c r="P31">
        <f t="shared" si="52"/>
        <v>3520</v>
      </c>
      <c r="Q31">
        <f t="shared" si="53"/>
        <v>1206.3715789784803</v>
      </c>
      <c r="R31">
        <f t="shared" si="44"/>
        <v>4726.3715789784801</v>
      </c>
      <c r="S31">
        <f t="shared" si="6"/>
        <v>18820866.680454198</v>
      </c>
      <c r="T31">
        <f t="shared" si="45"/>
        <v>63.103853127657828</v>
      </c>
      <c r="U31">
        <f t="shared" si="46"/>
        <v>126.77514293487215</v>
      </c>
      <c r="V31">
        <f t="shared" si="47"/>
        <v>1.613059704724797</v>
      </c>
      <c r="W31">
        <f t="shared" si="48"/>
        <v>1536.0707631680059</v>
      </c>
      <c r="X31">
        <v>507.7</v>
      </c>
      <c r="Y31">
        <f t="shared" si="11"/>
        <v>0.33051862724925185</v>
      </c>
      <c r="Z31" t="str">
        <f t="shared" si="12"/>
        <v>LC-C30</v>
      </c>
      <c r="AA31">
        <f t="shared" si="13"/>
        <v>490</v>
      </c>
      <c r="AB31">
        <f>C31/(0.2+185*C31/193000)</f>
        <v>517.02058150931066</v>
      </c>
      <c r="AC31">
        <f t="shared" si="14"/>
        <v>490.5313485704678</v>
      </c>
      <c r="AD31">
        <f t="shared" si="15"/>
        <v>305.56904784310274</v>
      </c>
      <c r="AE31">
        <f t="shared" si="16"/>
        <v>448.60656040559837</v>
      </c>
      <c r="AF31">
        <f>(AE31*Q31+N31*P31)/1000</f>
        <v>1685.1862046166068</v>
      </c>
      <c r="AG31">
        <f t="shared" si="18"/>
        <v>0.3012723452216402</v>
      </c>
    </row>
    <row r="32" spans="1:33" x14ac:dyDescent="0.25">
      <c r="A32">
        <v>31</v>
      </c>
      <c r="B32">
        <v>355</v>
      </c>
      <c r="C32">
        <v>205</v>
      </c>
      <c r="D32">
        <v>0.2</v>
      </c>
      <c r="E32">
        <v>9000</v>
      </c>
      <c r="F32">
        <v>110</v>
      </c>
      <c r="G32">
        <f t="shared" si="1"/>
        <v>166</v>
      </c>
      <c r="H32">
        <v>8</v>
      </c>
      <c r="I32">
        <f t="shared" si="41"/>
        <v>13.75</v>
      </c>
      <c r="J32">
        <f t="shared" si="50"/>
        <v>0.28906822465146947</v>
      </c>
      <c r="K32">
        <f t="shared" si="42"/>
        <v>0.55000000000000004</v>
      </c>
      <c r="L32">
        <f t="shared" si="40"/>
        <v>9</v>
      </c>
      <c r="M32">
        <v>3.5</v>
      </c>
      <c r="N32">
        <f t="shared" si="43"/>
        <v>325</v>
      </c>
      <c r="O32">
        <f t="shared" si="51"/>
        <v>203400</v>
      </c>
      <c r="P32">
        <f t="shared" si="52"/>
        <v>3520</v>
      </c>
      <c r="Q32">
        <f t="shared" si="53"/>
        <v>1206.3715789784803</v>
      </c>
      <c r="R32">
        <f t="shared" si="44"/>
        <v>4726.3715789784801</v>
      </c>
      <c r="S32">
        <f t="shared" si="6"/>
        <v>18820866.680454198</v>
      </c>
      <c r="T32">
        <f t="shared" si="45"/>
        <v>63.103853127657828</v>
      </c>
      <c r="U32">
        <f t="shared" si="46"/>
        <v>142.62203580173116</v>
      </c>
      <c r="V32">
        <f t="shared" si="47"/>
        <v>1.8146921678153967</v>
      </c>
      <c r="W32">
        <f t="shared" si="48"/>
        <v>1536.0707631680059</v>
      </c>
      <c r="X32">
        <v>412.2</v>
      </c>
      <c r="Y32">
        <f t="shared" si="11"/>
        <v>0.26834701231463781</v>
      </c>
      <c r="Z32" t="str">
        <f t="shared" si="12"/>
        <v>LC-C31</v>
      </c>
      <c r="AA32">
        <f t="shared" si="13"/>
        <v>490</v>
      </c>
      <c r="AB32">
        <f>C32/(0.2+185*C32/193000)</f>
        <v>517.02058150931066</v>
      </c>
      <c r="AC32">
        <f t="shared" si="14"/>
        <v>490.5313485704678</v>
      </c>
      <c r="AD32">
        <f t="shared" si="15"/>
        <v>305.56904784310274</v>
      </c>
      <c r="AE32">
        <f t="shared" si="16"/>
        <v>448.60656040559837</v>
      </c>
      <c r="AF32">
        <f t="shared" ref="AF32:AF34" si="54">(AE32*Q32+N32*P32)/1000</f>
        <v>1685.1862046166068</v>
      </c>
      <c r="AG32">
        <f t="shared" si="18"/>
        <v>0.24460204983328757</v>
      </c>
    </row>
    <row r="33" spans="1:33" x14ac:dyDescent="0.25">
      <c r="A33">
        <v>32</v>
      </c>
      <c r="B33">
        <v>355</v>
      </c>
      <c r="C33">
        <v>205</v>
      </c>
      <c r="D33">
        <v>0.2</v>
      </c>
      <c r="E33">
        <v>10000</v>
      </c>
      <c r="F33">
        <v>110</v>
      </c>
      <c r="G33">
        <f t="shared" si="1"/>
        <v>166</v>
      </c>
      <c r="H33">
        <v>8</v>
      </c>
      <c r="I33">
        <f t="shared" si="41"/>
        <v>13.75</v>
      </c>
      <c r="J33">
        <f t="shared" si="50"/>
        <v>0.28906822465146947</v>
      </c>
      <c r="K33">
        <f t="shared" si="42"/>
        <v>0.55000000000000004</v>
      </c>
      <c r="L33">
        <f t="shared" si="40"/>
        <v>10</v>
      </c>
      <c r="M33">
        <v>3.5</v>
      </c>
      <c r="N33">
        <f t="shared" si="43"/>
        <v>325</v>
      </c>
      <c r="O33">
        <f t="shared" si="51"/>
        <v>203400</v>
      </c>
      <c r="P33">
        <f t="shared" si="52"/>
        <v>3520</v>
      </c>
      <c r="Q33">
        <f t="shared" si="53"/>
        <v>1206.3715789784803</v>
      </c>
      <c r="R33">
        <f t="shared" si="44"/>
        <v>4726.3715789784801</v>
      </c>
      <c r="S33">
        <f t="shared" si="6"/>
        <v>18820866.680454198</v>
      </c>
      <c r="T33">
        <f t="shared" si="45"/>
        <v>63.103853127657828</v>
      </c>
      <c r="U33">
        <f t="shared" si="46"/>
        <v>158.46892866859019</v>
      </c>
      <c r="V33">
        <f t="shared" si="47"/>
        <v>2.0163246309059963</v>
      </c>
      <c r="W33">
        <f t="shared" si="48"/>
        <v>1536.0707631680059</v>
      </c>
      <c r="X33">
        <v>339.8</v>
      </c>
      <c r="Y33">
        <f t="shared" si="11"/>
        <v>0.22121376706577858</v>
      </c>
      <c r="Z33" t="str">
        <f t="shared" si="12"/>
        <v>LC-C32</v>
      </c>
      <c r="AA33">
        <f t="shared" si="13"/>
        <v>490</v>
      </c>
      <c r="AB33">
        <f>C33/(0.2+185*C33/193000)</f>
        <v>517.02058150931066</v>
      </c>
      <c r="AC33">
        <f t="shared" si="14"/>
        <v>490.5313485704678</v>
      </c>
      <c r="AD33">
        <f t="shared" si="15"/>
        <v>305.56904784310274</v>
      </c>
      <c r="AE33">
        <f t="shared" si="16"/>
        <v>448.60656040559837</v>
      </c>
      <c r="AF33">
        <f t="shared" si="54"/>
        <v>1685.1862046166068</v>
      </c>
      <c r="AG33">
        <f t="shared" si="18"/>
        <v>0.20163943846033749</v>
      </c>
    </row>
    <row r="34" spans="1:33" x14ac:dyDescent="0.25">
      <c r="A34">
        <v>33</v>
      </c>
      <c r="B34">
        <v>355</v>
      </c>
      <c r="C34">
        <v>205</v>
      </c>
      <c r="D34">
        <v>0.2</v>
      </c>
      <c r="E34">
        <v>12000</v>
      </c>
      <c r="F34">
        <v>110</v>
      </c>
      <c r="G34">
        <f t="shared" si="1"/>
        <v>166</v>
      </c>
      <c r="H34">
        <v>8</v>
      </c>
      <c r="I34">
        <f t="shared" si="41"/>
        <v>13.75</v>
      </c>
      <c r="J34">
        <f t="shared" si="50"/>
        <v>0.28906822465146947</v>
      </c>
      <c r="K34">
        <f t="shared" si="42"/>
        <v>0.55000000000000004</v>
      </c>
      <c r="L34">
        <f t="shared" si="40"/>
        <v>12</v>
      </c>
      <c r="M34">
        <v>3.5</v>
      </c>
      <c r="N34">
        <f t="shared" si="43"/>
        <v>325</v>
      </c>
      <c r="O34">
        <f t="shared" si="51"/>
        <v>203400</v>
      </c>
      <c r="P34">
        <f t="shared" si="52"/>
        <v>3520</v>
      </c>
      <c r="Q34">
        <f t="shared" si="53"/>
        <v>1206.3715789784803</v>
      </c>
      <c r="R34">
        <f t="shared" si="44"/>
        <v>4726.3715789784801</v>
      </c>
      <c r="S34">
        <f t="shared" si="6"/>
        <v>18820866.680454198</v>
      </c>
      <c r="T34">
        <f t="shared" si="45"/>
        <v>63.103853127657828</v>
      </c>
      <c r="U34">
        <f t="shared" si="46"/>
        <v>190.16271440230821</v>
      </c>
      <c r="V34">
        <f t="shared" si="47"/>
        <v>2.4195895570871953</v>
      </c>
      <c r="W34">
        <f t="shared" si="48"/>
        <v>1536.0707631680059</v>
      </c>
      <c r="X34">
        <v>241.2</v>
      </c>
      <c r="Y34">
        <f t="shared" si="11"/>
        <v>0.15702401593956972</v>
      </c>
      <c r="Z34" t="str">
        <f t="shared" si="12"/>
        <v>LC-C33</v>
      </c>
      <c r="AA34">
        <f t="shared" si="13"/>
        <v>490</v>
      </c>
      <c r="AB34">
        <f t="shared" ref="AB34" si="55">C34/(0.2+185*C34/193000)</f>
        <v>517.02058150931066</v>
      </c>
      <c r="AC34">
        <f t="shared" si="14"/>
        <v>490.5313485704678</v>
      </c>
      <c r="AD34">
        <f t="shared" si="15"/>
        <v>305.56904784310274</v>
      </c>
      <c r="AE34">
        <f t="shared" si="16"/>
        <v>448.60656040559837</v>
      </c>
      <c r="AF34">
        <f t="shared" si="54"/>
        <v>1685.1862046166068</v>
      </c>
      <c r="AG34">
        <f t="shared" si="18"/>
        <v>0.14312958374524251</v>
      </c>
    </row>
    <row r="35" spans="1:33" x14ac:dyDescent="0.25">
      <c r="A35">
        <v>34</v>
      </c>
      <c r="B35">
        <v>355</v>
      </c>
      <c r="C35">
        <v>205</v>
      </c>
      <c r="D35">
        <v>0.2</v>
      </c>
      <c r="E35">
        <v>1000</v>
      </c>
      <c r="F35">
        <v>110</v>
      </c>
      <c r="G35">
        <f t="shared" si="1"/>
        <v>182</v>
      </c>
      <c r="H35">
        <v>8</v>
      </c>
      <c r="I35">
        <f>F35/H35</f>
        <v>13.75</v>
      </c>
      <c r="J35">
        <f>SQRT(12*(1-0.3^2)*I35^2*N35/(4*PI()^2*O35))</f>
        <v>0.28906822465146947</v>
      </c>
      <c r="K35">
        <f>H35*I35/200</f>
        <v>0.55000000000000004</v>
      </c>
      <c r="L35">
        <f t="shared" si="40"/>
        <v>1</v>
      </c>
      <c r="M35">
        <v>4.5</v>
      </c>
      <c r="N35">
        <f>D35*C35+(1-D35)*B35</f>
        <v>325</v>
      </c>
      <c r="O35">
        <f>193000*D35+(1-D35)*206000</f>
        <v>203400</v>
      </c>
      <c r="P35">
        <f>H35*I35*H35*4</f>
        <v>3520</v>
      </c>
      <c r="Q35">
        <f>PI()*(M35*H35)^2-PI()*((M35-1)*H35)^2</f>
        <v>1608.4954386379741</v>
      </c>
      <c r="R35">
        <f>P35+Q35</f>
        <v>5128.4954386379741</v>
      </c>
      <c r="S35">
        <f t="shared" si="6"/>
        <v>24430862.996638283</v>
      </c>
      <c r="T35">
        <f>SQRT(S35/R35)</f>
        <v>69.01991456087228</v>
      </c>
      <c r="U35">
        <f>E35/T35</f>
        <v>14.48857197755653</v>
      </c>
      <c r="V35">
        <f>U35/PI()*SQRT(N35/O35)</f>
        <v>0.18434947967684476</v>
      </c>
      <c r="W35">
        <f>R35*N35/1000</f>
        <v>1666.7610175573416</v>
      </c>
      <c r="X35">
        <v>1805.7</v>
      </c>
      <c r="Y35">
        <f t="shared" si="11"/>
        <v>1.0833586704867115</v>
      </c>
      <c r="Z35" t="str">
        <f t="shared" si="12"/>
        <v>LC-C34</v>
      </c>
      <c r="AA35">
        <f t="shared" si="13"/>
        <v>490</v>
      </c>
      <c r="AB35">
        <f>C35/(0.2+185*C35/193000)</f>
        <v>517.02058150931066</v>
      </c>
      <c r="AC35">
        <f t="shared" si="14"/>
        <v>472.16589361674886</v>
      </c>
      <c r="AD35">
        <f t="shared" si="15"/>
        <v>292.88506637012813</v>
      </c>
      <c r="AE35">
        <f t="shared" si="16"/>
        <v>432.72411162249233</v>
      </c>
      <c r="AF35">
        <f>(AE35*Q35+N35*P35)/1000</f>
        <v>1840.0347597334485</v>
      </c>
      <c r="AG35">
        <f t="shared" si="18"/>
        <v>0.98134015699876109</v>
      </c>
    </row>
    <row r="36" spans="1:33" x14ac:dyDescent="0.25">
      <c r="A36">
        <v>35</v>
      </c>
      <c r="B36">
        <v>355</v>
      </c>
      <c r="C36">
        <v>205</v>
      </c>
      <c r="D36">
        <v>0.2</v>
      </c>
      <c r="E36">
        <v>2000</v>
      </c>
      <c r="F36">
        <v>110</v>
      </c>
      <c r="G36">
        <f t="shared" si="1"/>
        <v>182</v>
      </c>
      <c r="H36">
        <v>8</v>
      </c>
      <c r="I36">
        <f t="shared" ref="I36:I45" si="56">F36/H36</f>
        <v>13.75</v>
      </c>
      <c r="J36">
        <f>SQRT(12*(1-0.3^2)*I36^2*N36/(4*PI()^2*O36))</f>
        <v>0.28906822465146947</v>
      </c>
      <c r="K36">
        <f t="shared" ref="K36:K45" si="57">H36*I36/200</f>
        <v>0.55000000000000004</v>
      </c>
      <c r="L36">
        <f t="shared" si="40"/>
        <v>2</v>
      </c>
      <c r="M36">
        <v>4.5</v>
      </c>
      <c r="N36">
        <f t="shared" ref="N36:N45" si="58">D36*C36+(1-D36)*B36</f>
        <v>325</v>
      </c>
      <c r="O36">
        <f>193000*D36+(1-D36)*206000</f>
        <v>203400</v>
      </c>
      <c r="P36">
        <f>H36*I36*H36*4</f>
        <v>3520</v>
      </c>
      <c r="Q36">
        <f>PI()*(M36*H36)^2-PI()*((M36-1)*H36)^2</f>
        <v>1608.4954386379741</v>
      </c>
      <c r="R36">
        <f t="shared" ref="R36:R45" si="59">P36+Q36</f>
        <v>5128.4954386379741</v>
      </c>
      <c r="S36">
        <f t="shared" si="6"/>
        <v>24430862.996638283</v>
      </c>
      <c r="T36">
        <f t="shared" ref="T36:T45" si="60">SQRT(S36/R36)</f>
        <v>69.01991456087228</v>
      </c>
      <c r="U36">
        <f t="shared" ref="U36:U45" si="61">E36/T36</f>
        <v>28.977143955113061</v>
      </c>
      <c r="V36">
        <f t="shared" ref="V36:V45" si="62">U36/PI()*SQRT(N36/O36)</f>
        <v>0.36869895935368951</v>
      </c>
      <c r="W36">
        <f t="shared" ref="W36:W45" si="63">R36*N36/1000</f>
        <v>1666.7610175573416</v>
      </c>
      <c r="X36">
        <v>1625.5</v>
      </c>
      <c r="Y36">
        <f t="shared" si="11"/>
        <v>0.97524479087121319</v>
      </c>
      <c r="Z36" t="str">
        <f t="shared" si="12"/>
        <v>LC-C35</v>
      </c>
      <c r="AA36">
        <f t="shared" si="13"/>
        <v>490</v>
      </c>
      <c r="AB36">
        <f>C36/(0.2+185*C36/193000)</f>
        <v>517.02058150931066</v>
      </c>
      <c r="AC36">
        <f t="shared" si="14"/>
        <v>472.16589361674886</v>
      </c>
      <c r="AD36">
        <f t="shared" si="15"/>
        <v>292.88506637012813</v>
      </c>
      <c r="AE36">
        <f t="shared" si="16"/>
        <v>432.72411162249233</v>
      </c>
      <c r="AF36">
        <f t="shared" ref="AF36:AF45" si="64">(AE36*Q36+N36*P36)/1000</f>
        <v>1840.0347597334485</v>
      </c>
      <c r="AG36">
        <f t="shared" si="18"/>
        <v>0.88340722445671271</v>
      </c>
    </row>
    <row r="37" spans="1:33" x14ac:dyDescent="0.25">
      <c r="A37">
        <v>36</v>
      </c>
      <c r="B37">
        <v>355</v>
      </c>
      <c r="C37">
        <v>205</v>
      </c>
      <c r="D37">
        <v>0.2</v>
      </c>
      <c r="E37">
        <v>3000</v>
      </c>
      <c r="F37">
        <v>110</v>
      </c>
      <c r="G37">
        <f t="shared" si="1"/>
        <v>182</v>
      </c>
      <c r="H37">
        <v>8</v>
      </c>
      <c r="I37">
        <f t="shared" si="56"/>
        <v>13.75</v>
      </c>
      <c r="J37">
        <f>SQRT(12*(1-0.3^2)*I37^2*N37/(4*PI()^2*O37))</f>
        <v>0.28906822465146947</v>
      </c>
      <c r="K37">
        <f t="shared" si="57"/>
        <v>0.55000000000000004</v>
      </c>
      <c r="L37">
        <f t="shared" si="40"/>
        <v>3</v>
      </c>
      <c r="M37">
        <v>4.5</v>
      </c>
      <c r="N37">
        <f t="shared" si="58"/>
        <v>325</v>
      </c>
      <c r="O37">
        <f>193000*D37+(1-D37)*206000</f>
        <v>203400</v>
      </c>
      <c r="P37">
        <f>H37*I37*H37*4</f>
        <v>3520</v>
      </c>
      <c r="Q37">
        <f>PI()*(M37*H37)^2-PI()*((M37-1)*H37)^2</f>
        <v>1608.4954386379741</v>
      </c>
      <c r="R37">
        <f t="shared" si="59"/>
        <v>5128.4954386379741</v>
      </c>
      <c r="S37">
        <f t="shared" si="6"/>
        <v>24430862.996638283</v>
      </c>
      <c r="T37">
        <f t="shared" si="60"/>
        <v>69.01991456087228</v>
      </c>
      <c r="U37">
        <f t="shared" si="61"/>
        <v>43.465715932669589</v>
      </c>
      <c r="V37">
        <f t="shared" si="62"/>
        <v>0.55304843903053424</v>
      </c>
      <c r="W37">
        <f t="shared" si="63"/>
        <v>1666.7610175573416</v>
      </c>
      <c r="X37">
        <v>1463.2</v>
      </c>
      <c r="Y37">
        <f t="shared" si="11"/>
        <v>0.87787030329299243</v>
      </c>
      <c r="Z37" t="str">
        <f t="shared" si="12"/>
        <v>LC-C36</v>
      </c>
      <c r="AA37">
        <f t="shared" si="13"/>
        <v>490</v>
      </c>
      <c r="AB37">
        <f>C37/(0.2+185*C37/193000)</f>
        <v>517.02058150931066</v>
      </c>
      <c r="AC37">
        <f t="shared" si="14"/>
        <v>472.16589361674886</v>
      </c>
      <c r="AD37">
        <f t="shared" si="15"/>
        <v>292.88506637012813</v>
      </c>
      <c r="AE37">
        <f t="shared" si="16"/>
        <v>432.72411162249233</v>
      </c>
      <c r="AF37">
        <f t="shared" si="64"/>
        <v>1840.0347597334485</v>
      </c>
      <c r="AG37">
        <f t="shared" si="18"/>
        <v>0.79520236900957375</v>
      </c>
    </row>
    <row r="38" spans="1:33" x14ac:dyDescent="0.25">
      <c r="A38">
        <v>37</v>
      </c>
      <c r="B38">
        <v>355</v>
      </c>
      <c r="C38">
        <v>205</v>
      </c>
      <c r="D38">
        <v>0.2</v>
      </c>
      <c r="E38">
        <v>4000</v>
      </c>
      <c r="F38">
        <v>110</v>
      </c>
      <c r="G38">
        <f t="shared" si="1"/>
        <v>182</v>
      </c>
      <c r="H38">
        <v>8</v>
      </c>
      <c r="I38">
        <f t="shared" si="56"/>
        <v>13.75</v>
      </c>
      <c r="J38">
        <f t="shared" ref="J38:J45" si="65">SQRT(12*(1-0.3^2)*I38^2*N38/(4*PI()^2*O38))</f>
        <v>0.28906822465146947</v>
      </c>
      <c r="K38">
        <f t="shared" si="57"/>
        <v>0.55000000000000004</v>
      </c>
      <c r="L38">
        <f t="shared" si="40"/>
        <v>4</v>
      </c>
      <c r="M38">
        <v>4.5</v>
      </c>
      <c r="N38">
        <f t="shared" si="58"/>
        <v>325</v>
      </c>
      <c r="O38">
        <f t="shared" ref="O38:O45" si="66">193000*D38+(1-D38)*206000</f>
        <v>203400</v>
      </c>
      <c r="P38">
        <f t="shared" ref="P38:P45" si="67">H38*I38*H38*4</f>
        <v>3520</v>
      </c>
      <c r="Q38">
        <f t="shared" ref="Q38:Q45" si="68">PI()*(M38*H38)^2-PI()*((M38-1)*H38)^2</f>
        <v>1608.4954386379741</v>
      </c>
      <c r="R38">
        <f t="shared" si="59"/>
        <v>5128.4954386379741</v>
      </c>
      <c r="S38">
        <f t="shared" si="6"/>
        <v>24430862.996638283</v>
      </c>
      <c r="T38">
        <f t="shared" si="60"/>
        <v>69.01991456087228</v>
      </c>
      <c r="U38">
        <f t="shared" si="61"/>
        <v>57.954287910226121</v>
      </c>
      <c r="V38">
        <f t="shared" si="62"/>
        <v>0.73739791870737903</v>
      </c>
      <c r="W38">
        <f t="shared" si="63"/>
        <v>1666.7610175573416</v>
      </c>
      <c r="X38">
        <v>1320.1</v>
      </c>
      <c r="Y38">
        <f t="shared" si="11"/>
        <v>0.7920151635983318</v>
      </c>
      <c r="Z38" t="str">
        <f t="shared" si="12"/>
        <v>LC-C37</v>
      </c>
      <c r="AA38">
        <f t="shared" si="13"/>
        <v>490</v>
      </c>
      <c r="AB38">
        <f t="shared" ref="AB38:AB45" si="69">C38/(0.2+185*C38/193000)</f>
        <v>517.02058150931066</v>
      </c>
      <c r="AC38">
        <f t="shared" si="14"/>
        <v>472.16589361674886</v>
      </c>
      <c r="AD38">
        <f t="shared" si="15"/>
        <v>292.88506637012813</v>
      </c>
      <c r="AE38">
        <f t="shared" si="16"/>
        <v>432.72411162249233</v>
      </c>
      <c r="AF38">
        <f t="shared" si="64"/>
        <v>1840.0347597334485</v>
      </c>
      <c r="AG38">
        <f t="shared" si="18"/>
        <v>0.71743209904971172</v>
      </c>
    </row>
    <row r="39" spans="1:33" x14ac:dyDescent="0.25">
      <c r="A39">
        <v>38</v>
      </c>
      <c r="B39">
        <v>355</v>
      </c>
      <c r="C39">
        <v>205</v>
      </c>
      <c r="D39">
        <v>0.2</v>
      </c>
      <c r="E39">
        <v>5000</v>
      </c>
      <c r="F39">
        <v>110</v>
      </c>
      <c r="G39">
        <f t="shared" si="1"/>
        <v>182</v>
      </c>
      <c r="H39">
        <v>8</v>
      </c>
      <c r="I39">
        <f t="shared" si="56"/>
        <v>13.75</v>
      </c>
      <c r="J39">
        <f t="shared" si="65"/>
        <v>0.28906822465146947</v>
      </c>
      <c r="K39">
        <f t="shared" si="57"/>
        <v>0.55000000000000004</v>
      </c>
      <c r="L39">
        <f t="shared" si="40"/>
        <v>5</v>
      </c>
      <c r="M39">
        <v>4.5</v>
      </c>
      <c r="N39">
        <f t="shared" si="58"/>
        <v>325</v>
      </c>
      <c r="O39">
        <f t="shared" si="66"/>
        <v>203400</v>
      </c>
      <c r="P39">
        <f t="shared" si="67"/>
        <v>3520</v>
      </c>
      <c r="Q39">
        <f t="shared" si="68"/>
        <v>1608.4954386379741</v>
      </c>
      <c r="R39">
        <f t="shared" si="59"/>
        <v>5128.4954386379741</v>
      </c>
      <c r="S39">
        <f t="shared" si="6"/>
        <v>24430862.996638283</v>
      </c>
      <c r="T39">
        <f t="shared" si="60"/>
        <v>69.01991456087228</v>
      </c>
      <c r="U39">
        <f t="shared" si="61"/>
        <v>72.442859887782646</v>
      </c>
      <c r="V39">
        <f t="shared" si="62"/>
        <v>0.92174739838422381</v>
      </c>
      <c r="W39">
        <f t="shared" si="63"/>
        <v>1666.7610175573416</v>
      </c>
      <c r="X39">
        <v>1156.7</v>
      </c>
      <c r="Y39">
        <f t="shared" si="11"/>
        <v>0.6939807133809488</v>
      </c>
      <c r="Z39" t="str">
        <f t="shared" si="12"/>
        <v>LC-C38</v>
      </c>
      <c r="AA39">
        <f t="shared" si="13"/>
        <v>490</v>
      </c>
      <c r="AB39">
        <f t="shared" si="69"/>
        <v>517.02058150931066</v>
      </c>
      <c r="AC39">
        <f t="shared" si="14"/>
        <v>472.16589361674886</v>
      </c>
      <c r="AD39">
        <f t="shared" si="15"/>
        <v>292.88506637012813</v>
      </c>
      <c r="AE39">
        <f t="shared" si="16"/>
        <v>432.72411162249233</v>
      </c>
      <c r="AF39">
        <f t="shared" si="64"/>
        <v>1840.0347597334485</v>
      </c>
      <c r="AG39">
        <f t="shared" si="18"/>
        <v>0.62862942880903083</v>
      </c>
    </row>
    <row r="40" spans="1:33" x14ac:dyDescent="0.25">
      <c r="A40">
        <v>39</v>
      </c>
      <c r="B40">
        <v>355</v>
      </c>
      <c r="C40">
        <v>205</v>
      </c>
      <c r="D40">
        <v>0.2</v>
      </c>
      <c r="E40">
        <v>6000</v>
      </c>
      <c r="F40">
        <v>110</v>
      </c>
      <c r="G40">
        <f t="shared" si="1"/>
        <v>182</v>
      </c>
      <c r="H40">
        <v>8</v>
      </c>
      <c r="I40">
        <f t="shared" si="56"/>
        <v>13.75</v>
      </c>
      <c r="J40">
        <f t="shared" si="65"/>
        <v>0.28906822465146947</v>
      </c>
      <c r="K40">
        <f t="shared" si="57"/>
        <v>0.55000000000000004</v>
      </c>
      <c r="L40">
        <f t="shared" si="40"/>
        <v>6</v>
      </c>
      <c r="M40">
        <v>4.5</v>
      </c>
      <c r="N40">
        <f t="shared" si="58"/>
        <v>325</v>
      </c>
      <c r="O40">
        <f t="shared" si="66"/>
        <v>203400</v>
      </c>
      <c r="P40">
        <f t="shared" si="67"/>
        <v>3520</v>
      </c>
      <c r="Q40">
        <f t="shared" si="68"/>
        <v>1608.4954386379741</v>
      </c>
      <c r="R40">
        <f t="shared" si="59"/>
        <v>5128.4954386379741</v>
      </c>
      <c r="S40">
        <f t="shared" si="6"/>
        <v>24430862.996638283</v>
      </c>
      <c r="T40">
        <f t="shared" si="60"/>
        <v>69.01991456087228</v>
      </c>
      <c r="U40">
        <f t="shared" si="61"/>
        <v>86.931431865339178</v>
      </c>
      <c r="V40">
        <f t="shared" si="62"/>
        <v>1.1060968780610685</v>
      </c>
      <c r="W40">
        <f t="shared" si="63"/>
        <v>1666.7610175573416</v>
      </c>
      <c r="X40">
        <v>967.1</v>
      </c>
      <c r="Y40">
        <f t="shared" si="11"/>
        <v>0.58022715303079064</v>
      </c>
      <c r="Z40" t="str">
        <f t="shared" si="12"/>
        <v>LC-C39</v>
      </c>
      <c r="AA40">
        <f t="shared" si="13"/>
        <v>490</v>
      </c>
      <c r="AB40">
        <f t="shared" si="69"/>
        <v>517.02058150931066</v>
      </c>
      <c r="AC40">
        <f t="shared" si="14"/>
        <v>472.16589361674886</v>
      </c>
      <c r="AD40">
        <f t="shared" si="15"/>
        <v>292.88506637012813</v>
      </c>
      <c r="AE40">
        <f t="shared" si="16"/>
        <v>432.72411162249233</v>
      </c>
      <c r="AF40">
        <f t="shared" si="64"/>
        <v>1840.0347597334485</v>
      </c>
      <c r="AG40">
        <f t="shared" si="18"/>
        <v>0.52558789712216969</v>
      </c>
    </row>
    <row r="41" spans="1:33" x14ac:dyDescent="0.25">
      <c r="A41">
        <v>40</v>
      </c>
      <c r="B41">
        <v>355</v>
      </c>
      <c r="C41">
        <v>205</v>
      </c>
      <c r="D41">
        <v>0.2</v>
      </c>
      <c r="E41">
        <v>7000</v>
      </c>
      <c r="F41">
        <v>110</v>
      </c>
      <c r="G41">
        <f t="shared" si="1"/>
        <v>182</v>
      </c>
      <c r="H41">
        <v>8</v>
      </c>
      <c r="I41">
        <f t="shared" si="56"/>
        <v>13.75</v>
      </c>
      <c r="J41">
        <f t="shared" si="65"/>
        <v>0.28906822465146947</v>
      </c>
      <c r="K41">
        <f t="shared" si="57"/>
        <v>0.55000000000000004</v>
      </c>
      <c r="L41">
        <f t="shared" si="40"/>
        <v>7</v>
      </c>
      <c r="M41">
        <v>4.5</v>
      </c>
      <c r="N41">
        <f t="shared" si="58"/>
        <v>325</v>
      </c>
      <c r="O41">
        <f t="shared" si="66"/>
        <v>203400</v>
      </c>
      <c r="P41">
        <f t="shared" si="67"/>
        <v>3520</v>
      </c>
      <c r="Q41">
        <f t="shared" si="68"/>
        <v>1608.4954386379741</v>
      </c>
      <c r="R41">
        <f t="shared" si="59"/>
        <v>5128.4954386379741</v>
      </c>
      <c r="S41">
        <f t="shared" si="6"/>
        <v>24430862.996638283</v>
      </c>
      <c r="T41">
        <f t="shared" si="60"/>
        <v>69.01991456087228</v>
      </c>
      <c r="U41">
        <f t="shared" si="61"/>
        <v>101.42000384289571</v>
      </c>
      <c r="V41">
        <f t="shared" si="62"/>
        <v>1.2904463577379133</v>
      </c>
      <c r="W41">
        <f t="shared" si="63"/>
        <v>1666.7610175573416</v>
      </c>
      <c r="X41">
        <v>788.4</v>
      </c>
      <c r="Y41">
        <f t="shared" si="11"/>
        <v>0.47301322246869543</v>
      </c>
      <c r="Z41" t="str">
        <f t="shared" si="12"/>
        <v>LC-C40</v>
      </c>
      <c r="AA41">
        <f t="shared" si="13"/>
        <v>490</v>
      </c>
      <c r="AB41">
        <f t="shared" si="69"/>
        <v>517.02058150931066</v>
      </c>
      <c r="AC41">
        <f t="shared" si="14"/>
        <v>472.16589361674886</v>
      </c>
      <c r="AD41">
        <f t="shared" si="15"/>
        <v>292.88506637012813</v>
      </c>
      <c r="AE41">
        <f t="shared" si="16"/>
        <v>432.72411162249233</v>
      </c>
      <c r="AF41">
        <f t="shared" si="64"/>
        <v>1840.0347597334485</v>
      </c>
      <c r="AG41">
        <f t="shared" si="18"/>
        <v>0.42847016657131487</v>
      </c>
    </row>
    <row r="42" spans="1:33" x14ac:dyDescent="0.25">
      <c r="A42">
        <v>41</v>
      </c>
      <c r="B42">
        <v>355</v>
      </c>
      <c r="C42">
        <v>205</v>
      </c>
      <c r="D42">
        <v>0.2</v>
      </c>
      <c r="E42">
        <v>8000</v>
      </c>
      <c r="F42">
        <v>110</v>
      </c>
      <c r="G42">
        <f t="shared" si="1"/>
        <v>182</v>
      </c>
      <c r="H42">
        <v>8</v>
      </c>
      <c r="I42">
        <f t="shared" si="56"/>
        <v>13.75</v>
      </c>
      <c r="J42">
        <f t="shared" si="65"/>
        <v>0.28906822465146947</v>
      </c>
      <c r="K42">
        <f t="shared" si="57"/>
        <v>0.55000000000000004</v>
      </c>
      <c r="L42">
        <f t="shared" si="40"/>
        <v>8</v>
      </c>
      <c r="M42">
        <v>4.5</v>
      </c>
      <c r="N42">
        <f t="shared" si="58"/>
        <v>325</v>
      </c>
      <c r="O42">
        <f t="shared" si="66"/>
        <v>203400</v>
      </c>
      <c r="P42">
        <f t="shared" si="67"/>
        <v>3520</v>
      </c>
      <c r="Q42">
        <f t="shared" si="68"/>
        <v>1608.4954386379741</v>
      </c>
      <c r="R42">
        <f t="shared" si="59"/>
        <v>5128.4954386379741</v>
      </c>
      <c r="S42">
        <f t="shared" si="6"/>
        <v>24430862.996638283</v>
      </c>
      <c r="T42">
        <f t="shared" si="60"/>
        <v>69.01991456087228</v>
      </c>
      <c r="U42">
        <f t="shared" si="61"/>
        <v>115.90857582045224</v>
      </c>
      <c r="V42">
        <f t="shared" si="62"/>
        <v>1.4747958374147581</v>
      </c>
      <c r="W42">
        <f t="shared" si="63"/>
        <v>1666.7610175573416</v>
      </c>
      <c r="X42">
        <v>640.29999999999995</v>
      </c>
      <c r="Y42">
        <f t="shared" si="11"/>
        <v>0.38415825259602443</v>
      </c>
      <c r="Z42" t="str">
        <f t="shared" si="12"/>
        <v>LC-C41</v>
      </c>
      <c r="AA42">
        <f t="shared" si="13"/>
        <v>490</v>
      </c>
      <c r="AB42">
        <f t="shared" si="69"/>
        <v>517.02058150931066</v>
      </c>
      <c r="AC42">
        <f t="shared" si="14"/>
        <v>472.16589361674886</v>
      </c>
      <c r="AD42">
        <f t="shared" si="15"/>
        <v>292.88506637012813</v>
      </c>
      <c r="AE42">
        <f t="shared" si="16"/>
        <v>432.72411162249233</v>
      </c>
      <c r="AF42">
        <f t="shared" si="64"/>
        <v>1840.0347597334485</v>
      </c>
      <c r="AG42">
        <f t="shared" si="18"/>
        <v>0.34798255664080785</v>
      </c>
    </row>
    <row r="43" spans="1:33" x14ac:dyDescent="0.25">
      <c r="A43">
        <v>42</v>
      </c>
      <c r="B43">
        <v>355</v>
      </c>
      <c r="C43">
        <v>205</v>
      </c>
      <c r="D43">
        <v>0.2</v>
      </c>
      <c r="E43">
        <v>9000</v>
      </c>
      <c r="F43">
        <v>110</v>
      </c>
      <c r="G43">
        <f t="shared" si="1"/>
        <v>182</v>
      </c>
      <c r="H43">
        <v>8</v>
      </c>
      <c r="I43">
        <f t="shared" si="56"/>
        <v>13.75</v>
      </c>
      <c r="J43">
        <f t="shared" si="65"/>
        <v>0.28906822465146947</v>
      </c>
      <c r="K43">
        <f t="shared" si="57"/>
        <v>0.55000000000000004</v>
      </c>
      <c r="L43">
        <f t="shared" si="40"/>
        <v>9</v>
      </c>
      <c r="M43">
        <v>4.5</v>
      </c>
      <c r="N43">
        <f t="shared" si="58"/>
        <v>325</v>
      </c>
      <c r="O43">
        <f t="shared" si="66"/>
        <v>203400</v>
      </c>
      <c r="P43">
        <f t="shared" si="67"/>
        <v>3520</v>
      </c>
      <c r="Q43">
        <f t="shared" si="68"/>
        <v>1608.4954386379741</v>
      </c>
      <c r="R43">
        <f t="shared" si="59"/>
        <v>5128.4954386379741</v>
      </c>
      <c r="S43">
        <f t="shared" si="6"/>
        <v>24430862.996638283</v>
      </c>
      <c r="T43">
        <f t="shared" si="60"/>
        <v>69.01991456087228</v>
      </c>
      <c r="U43">
        <f t="shared" si="61"/>
        <v>130.39714779800877</v>
      </c>
      <c r="V43">
        <f t="shared" si="62"/>
        <v>1.6591453170916028</v>
      </c>
      <c r="W43">
        <f t="shared" si="63"/>
        <v>1666.7610175573416</v>
      </c>
      <c r="X43">
        <v>524</v>
      </c>
      <c r="Y43">
        <f t="shared" si="11"/>
        <v>0.31438220265550026</v>
      </c>
      <c r="Z43" t="str">
        <f t="shared" si="12"/>
        <v>LC-C42</v>
      </c>
      <c r="AA43">
        <f t="shared" si="13"/>
        <v>490</v>
      </c>
      <c r="AB43">
        <f t="shared" si="69"/>
        <v>517.02058150931066</v>
      </c>
      <c r="AC43">
        <f t="shared" si="14"/>
        <v>472.16589361674886</v>
      </c>
      <c r="AD43">
        <f t="shared" si="15"/>
        <v>292.88506637012813</v>
      </c>
      <c r="AE43">
        <f t="shared" si="16"/>
        <v>432.72411162249233</v>
      </c>
      <c r="AF43">
        <f t="shared" si="64"/>
        <v>1840.0347597334485</v>
      </c>
      <c r="AG43">
        <f t="shared" si="18"/>
        <v>0.28477722892360346</v>
      </c>
    </row>
    <row r="44" spans="1:33" x14ac:dyDescent="0.25">
      <c r="A44">
        <v>43</v>
      </c>
      <c r="B44">
        <v>355</v>
      </c>
      <c r="C44">
        <v>205</v>
      </c>
      <c r="D44">
        <v>0.2</v>
      </c>
      <c r="E44">
        <v>10000</v>
      </c>
      <c r="F44">
        <v>110</v>
      </c>
      <c r="G44">
        <f t="shared" si="1"/>
        <v>182</v>
      </c>
      <c r="H44">
        <v>8</v>
      </c>
      <c r="I44">
        <f t="shared" si="56"/>
        <v>13.75</v>
      </c>
      <c r="J44">
        <f t="shared" si="65"/>
        <v>0.28906822465146947</v>
      </c>
      <c r="K44">
        <f t="shared" si="57"/>
        <v>0.55000000000000004</v>
      </c>
      <c r="L44">
        <f t="shared" si="40"/>
        <v>10</v>
      </c>
      <c r="M44">
        <v>4.5</v>
      </c>
      <c r="N44">
        <f t="shared" si="58"/>
        <v>325</v>
      </c>
      <c r="O44">
        <f t="shared" si="66"/>
        <v>203400</v>
      </c>
      <c r="P44">
        <f t="shared" si="67"/>
        <v>3520</v>
      </c>
      <c r="Q44">
        <f t="shared" si="68"/>
        <v>1608.4954386379741</v>
      </c>
      <c r="R44">
        <f t="shared" si="59"/>
        <v>5128.4954386379741</v>
      </c>
      <c r="S44">
        <f t="shared" si="6"/>
        <v>24430862.996638283</v>
      </c>
      <c r="T44">
        <f t="shared" si="60"/>
        <v>69.01991456087228</v>
      </c>
      <c r="U44">
        <f t="shared" si="61"/>
        <v>144.88571977556529</v>
      </c>
      <c r="V44">
        <f t="shared" si="62"/>
        <v>1.8434947967684476</v>
      </c>
      <c r="W44">
        <f t="shared" si="63"/>
        <v>1666.7610175573416</v>
      </c>
      <c r="X44">
        <v>434.1</v>
      </c>
      <c r="Y44">
        <f t="shared" si="11"/>
        <v>0.26044525605487151</v>
      </c>
      <c r="Z44" t="str">
        <f t="shared" si="12"/>
        <v>LC-C43</v>
      </c>
      <c r="AA44">
        <f t="shared" si="13"/>
        <v>490</v>
      </c>
      <c r="AB44">
        <f t="shared" si="69"/>
        <v>517.02058150931066</v>
      </c>
      <c r="AC44">
        <f t="shared" si="14"/>
        <v>472.16589361674886</v>
      </c>
      <c r="AD44">
        <f t="shared" si="15"/>
        <v>292.88506637012813</v>
      </c>
      <c r="AE44">
        <f t="shared" si="16"/>
        <v>432.72411162249233</v>
      </c>
      <c r="AF44">
        <f t="shared" si="64"/>
        <v>1840.0347597334485</v>
      </c>
      <c r="AG44">
        <f t="shared" si="18"/>
        <v>0.23591945625140512</v>
      </c>
    </row>
    <row r="45" spans="1:33" x14ac:dyDescent="0.25">
      <c r="A45">
        <v>44</v>
      </c>
      <c r="B45">
        <v>355</v>
      </c>
      <c r="C45">
        <v>205</v>
      </c>
      <c r="D45">
        <v>0.2</v>
      </c>
      <c r="E45">
        <v>12000</v>
      </c>
      <c r="F45">
        <v>110</v>
      </c>
      <c r="G45">
        <f t="shared" si="1"/>
        <v>182</v>
      </c>
      <c r="H45">
        <v>8</v>
      </c>
      <c r="I45">
        <f t="shared" si="56"/>
        <v>13.75</v>
      </c>
      <c r="J45">
        <f t="shared" si="65"/>
        <v>0.28906822465146947</v>
      </c>
      <c r="K45">
        <f t="shared" si="57"/>
        <v>0.55000000000000004</v>
      </c>
      <c r="L45">
        <f t="shared" si="40"/>
        <v>12</v>
      </c>
      <c r="M45">
        <v>4.5</v>
      </c>
      <c r="N45">
        <f t="shared" si="58"/>
        <v>325</v>
      </c>
      <c r="O45">
        <f t="shared" si="66"/>
        <v>203400</v>
      </c>
      <c r="P45">
        <f t="shared" si="67"/>
        <v>3520</v>
      </c>
      <c r="Q45">
        <f t="shared" si="68"/>
        <v>1608.4954386379741</v>
      </c>
      <c r="R45">
        <f t="shared" si="59"/>
        <v>5128.4954386379741</v>
      </c>
      <c r="S45">
        <f t="shared" si="6"/>
        <v>24430862.996638283</v>
      </c>
      <c r="T45">
        <f t="shared" si="60"/>
        <v>69.01991456087228</v>
      </c>
      <c r="U45">
        <f t="shared" si="61"/>
        <v>173.86286373067836</v>
      </c>
      <c r="V45">
        <f t="shared" si="62"/>
        <v>2.212193756122137</v>
      </c>
      <c r="W45">
        <f t="shared" si="63"/>
        <v>1666.7610175573416</v>
      </c>
      <c r="X45">
        <v>309.60000000000002</v>
      </c>
      <c r="Y45">
        <f t="shared" si="11"/>
        <v>0.18574948462241009</v>
      </c>
      <c r="Z45" t="str">
        <f t="shared" si="12"/>
        <v>LC-C44</v>
      </c>
      <c r="AA45">
        <f t="shared" si="13"/>
        <v>490</v>
      </c>
      <c r="AB45">
        <f t="shared" si="69"/>
        <v>517.02058150931066</v>
      </c>
      <c r="AC45">
        <f t="shared" si="14"/>
        <v>472.16589361674886</v>
      </c>
      <c r="AD45">
        <f t="shared" si="15"/>
        <v>292.88506637012813</v>
      </c>
      <c r="AE45">
        <f t="shared" si="16"/>
        <v>432.72411162249233</v>
      </c>
      <c r="AF45">
        <f t="shared" si="64"/>
        <v>1840.0347597334485</v>
      </c>
      <c r="AG45">
        <f t="shared" si="18"/>
        <v>0.16825769098234283</v>
      </c>
    </row>
    <row r="46" spans="1:33" x14ac:dyDescent="0.25">
      <c r="A46">
        <v>45</v>
      </c>
      <c r="B46">
        <v>355</v>
      </c>
      <c r="C46">
        <v>205</v>
      </c>
      <c r="D46">
        <v>0.2</v>
      </c>
      <c r="E46">
        <v>1000</v>
      </c>
      <c r="F46">
        <v>110</v>
      </c>
      <c r="G46">
        <f t="shared" si="1"/>
        <v>198</v>
      </c>
      <c r="H46">
        <v>8</v>
      </c>
      <c r="I46">
        <f>F46/H46</f>
        <v>13.75</v>
      </c>
      <c r="J46">
        <f>SQRT(12*(1-0.3^2)*I46^2*N46/(4*PI()^2*O46))</f>
        <v>0.28906822465146947</v>
      </c>
      <c r="K46">
        <f>H46*I46/200</f>
        <v>0.55000000000000004</v>
      </c>
      <c r="L46">
        <f t="shared" si="40"/>
        <v>1</v>
      </c>
      <c r="M46">
        <v>5.5</v>
      </c>
      <c r="N46">
        <f>D46*C46+(1-D46)*B46</f>
        <v>325</v>
      </c>
      <c r="O46">
        <f>193000*D46+(1-D46)*206000</f>
        <v>203400</v>
      </c>
      <c r="P46">
        <f>H46*I46*H46*4</f>
        <v>3520</v>
      </c>
      <c r="Q46">
        <f>PI()*(M46*H46)^2-PI()*((M46-1)*H46)^2</f>
        <v>2010.619298297468</v>
      </c>
      <c r="R46">
        <f>P46+Q46</f>
        <v>5530.619298297468</v>
      </c>
      <c r="S46">
        <f t="shared" si="6"/>
        <v>31025530.437040862</v>
      </c>
      <c r="T46">
        <f>SQRT(S46/R46)</f>
        <v>74.89843190471359</v>
      </c>
      <c r="U46">
        <f>E46/T46</f>
        <v>13.351414369692122</v>
      </c>
      <c r="V46">
        <f>U46/PI()*SQRT(N46/O46)</f>
        <v>0.16988053038045431</v>
      </c>
      <c r="W46">
        <f>R46*N46/1000</f>
        <v>1797.451271946677</v>
      </c>
      <c r="X46">
        <v>1960.2</v>
      </c>
      <c r="Y46">
        <f t="shared" si="11"/>
        <v>1.0905441669509419</v>
      </c>
      <c r="Z46" t="str">
        <f t="shared" si="12"/>
        <v>LC-C45</v>
      </c>
      <c r="AA46">
        <f t="shared" si="13"/>
        <v>490</v>
      </c>
      <c r="AB46">
        <f>C46/(0.2+185*C46/193000)</f>
        <v>517.02058150931066</v>
      </c>
      <c r="AC46">
        <f t="shared" si="14"/>
        <v>458.89857374554873</v>
      </c>
      <c r="AD46">
        <f t="shared" si="15"/>
        <v>283.75598161340156</v>
      </c>
      <c r="AE46">
        <f t="shared" si="16"/>
        <v>421.06777384500498</v>
      </c>
      <c r="AF46">
        <f>(AE46*Q46+N46*P46)/1000</f>
        <v>1990.6069919839208</v>
      </c>
      <c r="AG46">
        <f t="shared" si="18"/>
        <v>0.98472476380000262</v>
      </c>
    </row>
    <row r="47" spans="1:33" x14ac:dyDescent="0.25">
      <c r="A47">
        <v>46</v>
      </c>
      <c r="B47">
        <v>355</v>
      </c>
      <c r="C47">
        <v>205</v>
      </c>
      <c r="D47">
        <v>0.2</v>
      </c>
      <c r="E47">
        <v>2000</v>
      </c>
      <c r="F47">
        <v>110</v>
      </c>
      <c r="G47">
        <f t="shared" si="1"/>
        <v>198</v>
      </c>
      <c r="H47">
        <v>8</v>
      </c>
      <c r="I47">
        <f t="shared" ref="I47:I56" si="70">F47/H47</f>
        <v>13.75</v>
      </c>
      <c r="J47">
        <f>SQRT(12*(1-0.3^2)*I47^2*N47/(4*PI()^2*O47))</f>
        <v>0.28906822465146947</v>
      </c>
      <c r="K47">
        <f t="shared" ref="K47:K56" si="71">H47*I47/200</f>
        <v>0.55000000000000004</v>
      </c>
      <c r="L47">
        <f t="shared" si="40"/>
        <v>2</v>
      </c>
      <c r="M47">
        <v>5.5</v>
      </c>
      <c r="N47">
        <f t="shared" ref="N47:N56" si="72">D47*C47+(1-D47)*B47</f>
        <v>325</v>
      </c>
      <c r="O47">
        <f>193000*D47+(1-D47)*206000</f>
        <v>203400</v>
      </c>
      <c r="P47">
        <f>H47*I47*H47*4</f>
        <v>3520</v>
      </c>
      <c r="Q47">
        <f>PI()*(M47*H47)^2-PI()*((M47-1)*H47)^2</f>
        <v>2010.619298297468</v>
      </c>
      <c r="R47">
        <f t="shared" ref="R47:R56" si="73">P47+Q47</f>
        <v>5530.619298297468</v>
      </c>
      <c r="S47">
        <f t="shared" si="6"/>
        <v>31025530.437040862</v>
      </c>
      <c r="T47">
        <f t="shared" ref="T47:T56" si="74">SQRT(S47/R47)</f>
        <v>74.89843190471359</v>
      </c>
      <c r="U47">
        <f t="shared" ref="U47:U56" si="75">E47/T47</f>
        <v>26.702828739384245</v>
      </c>
      <c r="V47">
        <f t="shared" ref="V47:V56" si="76">U47/PI()*SQRT(N47/O47)</f>
        <v>0.33976106076090862</v>
      </c>
      <c r="W47">
        <f t="shared" ref="W47:W56" si="77">R47*N47/1000</f>
        <v>1797.451271946677</v>
      </c>
      <c r="X47">
        <v>1792.5</v>
      </c>
      <c r="Y47">
        <f t="shared" si="11"/>
        <v>0.99724539294947634</v>
      </c>
      <c r="Z47" t="str">
        <f t="shared" si="12"/>
        <v>LC-C46</v>
      </c>
      <c r="AA47">
        <f t="shared" si="13"/>
        <v>490</v>
      </c>
      <c r="AB47">
        <f>C47/(0.2+185*C47/193000)</f>
        <v>517.02058150931066</v>
      </c>
      <c r="AC47">
        <f t="shared" si="14"/>
        <v>458.89857374554873</v>
      </c>
      <c r="AD47">
        <f t="shared" si="15"/>
        <v>283.75598161340156</v>
      </c>
      <c r="AE47">
        <f t="shared" si="16"/>
        <v>421.06777384500498</v>
      </c>
      <c r="AF47">
        <f t="shared" ref="AF47:AF54" si="78">(AE47*Q47+N47*P47)/1000</f>
        <v>1990.6069919839208</v>
      </c>
      <c r="AG47">
        <f t="shared" si="18"/>
        <v>0.9004791037197758</v>
      </c>
    </row>
    <row r="48" spans="1:33" x14ac:dyDescent="0.25">
      <c r="A48">
        <v>47</v>
      </c>
      <c r="B48">
        <v>355</v>
      </c>
      <c r="C48">
        <v>205</v>
      </c>
      <c r="D48">
        <v>0.2</v>
      </c>
      <c r="E48">
        <v>3000</v>
      </c>
      <c r="F48">
        <v>110</v>
      </c>
      <c r="G48">
        <f t="shared" si="1"/>
        <v>198</v>
      </c>
      <c r="H48">
        <v>8</v>
      </c>
      <c r="I48">
        <f t="shared" si="70"/>
        <v>13.75</v>
      </c>
      <c r="J48">
        <f>SQRT(12*(1-0.3^2)*I48^2*N48/(4*PI()^2*O48))</f>
        <v>0.28906822465146947</v>
      </c>
      <c r="K48">
        <f t="shared" si="71"/>
        <v>0.55000000000000004</v>
      </c>
      <c r="L48">
        <f t="shared" si="40"/>
        <v>3</v>
      </c>
      <c r="M48">
        <v>5.5</v>
      </c>
      <c r="N48">
        <f t="shared" si="72"/>
        <v>325</v>
      </c>
      <c r="O48">
        <f>193000*D48+(1-D48)*206000</f>
        <v>203400</v>
      </c>
      <c r="P48">
        <f>H48*I48*H48*4</f>
        <v>3520</v>
      </c>
      <c r="Q48">
        <f>PI()*(M48*H48)^2-PI()*((M48-1)*H48)^2</f>
        <v>2010.619298297468</v>
      </c>
      <c r="R48">
        <f t="shared" si="73"/>
        <v>5530.619298297468</v>
      </c>
      <c r="S48">
        <f t="shared" si="6"/>
        <v>31025530.437040862</v>
      </c>
      <c r="T48">
        <f t="shared" si="74"/>
        <v>74.89843190471359</v>
      </c>
      <c r="U48">
        <f t="shared" si="75"/>
        <v>40.054243109076367</v>
      </c>
      <c r="V48">
        <f t="shared" si="76"/>
        <v>0.50964159114136298</v>
      </c>
      <c r="W48">
        <f t="shared" si="77"/>
        <v>1797.451271946677</v>
      </c>
      <c r="X48">
        <v>1619.7</v>
      </c>
      <c r="Y48">
        <f t="shared" si="11"/>
        <v>0.90110926803920044</v>
      </c>
      <c r="Z48" t="str">
        <f t="shared" si="12"/>
        <v>LC-C47</v>
      </c>
      <c r="AA48">
        <f t="shared" si="13"/>
        <v>490</v>
      </c>
      <c r="AB48">
        <f>C48/(0.2+185*C48/193000)</f>
        <v>517.02058150931066</v>
      </c>
      <c r="AC48">
        <f t="shared" si="14"/>
        <v>458.89857374554873</v>
      </c>
      <c r="AD48">
        <f t="shared" si="15"/>
        <v>283.75598161340156</v>
      </c>
      <c r="AE48">
        <f t="shared" si="16"/>
        <v>421.06777384500498</v>
      </c>
      <c r="AF48">
        <f t="shared" si="78"/>
        <v>1990.6069919839208</v>
      </c>
      <c r="AG48">
        <f t="shared" si="18"/>
        <v>0.81367141104319163</v>
      </c>
    </row>
    <row r="49" spans="1:33" x14ac:dyDescent="0.25">
      <c r="A49">
        <v>48</v>
      </c>
      <c r="B49">
        <v>355</v>
      </c>
      <c r="C49">
        <v>205</v>
      </c>
      <c r="D49">
        <v>0.2</v>
      </c>
      <c r="E49">
        <v>4000</v>
      </c>
      <c r="F49">
        <v>110</v>
      </c>
      <c r="G49">
        <f t="shared" si="1"/>
        <v>198</v>
      </c>
      <c r="H49">
        <v>8</v>
      </c>
      <c r="I49">
        <f t="shared" si="70"/>
        <v>13.75</v>
      </c>
      <c r="J49">
        <f t="shared" ref="J49:J56" si="79">SQRT(12*(1-0.3^2)*I49^2*N49/(4*PI()^2*O49))</f>
        <v>0.28906822465146947</v>
      </c>
      <c r="K49">
        <f t="shared" si="71"/>
        <v>0.55000000000000004</v>
      </c>
      <c r="L49">
        <f t="shared" si="40"/>
        <v>4</v>
      </c>
      <c r="M49">
        <v>5.5</v>
      </c>
      <c r="N49">
        <f t="shared" si="72"/>
        <v>325</v>
      </c>
      <c r="O49">
        <f t="shared" ref="O49:O56" si="80">193000*D49+(1-D49)*206000</f>
        <v>203400</v>
      </c>
      <c r="P49">
        <f t="shared" ref="P49:P56" si="81">H49*I49*H49*4</f>
        <v>3520</v>
      </c>
      <c r="Q49">
        <f t="shared" ref="Q49:Q56" si="82">PI()*(M49*H49)^2-PI()*((M49-1)*H49)^2</f>
        <v>2010.619298297468</v>
      </c>
      <c r="R49">
        <f t="shared" si="73"/>
        <v>5530.619298297468</v>
      </c>
      <c r="S49">
        <f t="shared" si="6"/>
        <v>31025530.437040862</v>
      </c>
      <c r="T49">
        <f t="shared" si="74"/>
        <v>74.89843190471359</v>
      </c>
      <c r="U49">
        <f t="shared" si="75"/>
        <v>53.405657478768489</v>
      </c>
      <c r="V49">
        <f t="shared" si="76"/>
        <v>0.67952212152181724</v>
      </c>
      <c r="W49">
        <f t="shared" si="77"/>
        <v>1797.451271946677</v>
      </c>
      <c r="X49">
        <v>1495.9</v>
      </c>
      <c r="Y49">
        <f t="shared" si="11"/>
        <v>0.83223396558612095</v>
      </c>
      <c r="Z49" t="str">
        <f t="shared" si="12"/>
        <v>LC-C48</v>
      </c>
      <c r="AA49">
        <f t="shared" si="13"/>
        <v>490</v>
      </c>
      <c r="AB49">
        <f t="shared" ref="AB49:AB54" si="83">C49/(0.2+185*C49/193000)</f>
        <v>517.02058150931066</v>
      </c>
      <c r="AC49">
        <f t="shared" si="14"/>
        <v>458.89857374554873</v>
      </c>
      <c r="AD49">
        <f t="shared" si="15"/>
        <v>283.75598161340156</v>
      </c>
      <c r="AE49">
        <f t="shared" si="16"/>
        <v>421.06777384500498</v>
      </c>
      <c r="AF49">
        <f t="shared" si="78"/>
        <v>1990.6069919839208</v>
      </c>
      <c r="AG49">
        <f t="shared" si="18"/>
        <v>0.75147932566494435</v>
      </c>
    </row>
    <row r="50" spans="1:33" x14ac:dyDescent="0.25">
      <c r="A50">
        <v>49</v>
      </c>
      <c r="B50">
        <v>355</v>
      </c>
      <c r="C50">
        <v>205</v>
      </c>
      <c r="D50">
        <v>0.2</v>
      </c>
      <c r="E50">
        <v>5000</v>
      </c>
      <c r="F50">
        <v>110</v>
      </c>
      <c r="G50">
        <f t="shared" si="1"/>
        <v>198</v>
      </c>
      <c r="H50">
        <v>8</v>
      </c>
      <c r="I50">
        <f t="shared" si="70"/>
        <v>13.75</v>
      </c>
      <c r="J50">
        <f t="shared" si="79"/>
        <v>0.28906822465146947</v>
      </c>
      <c r="K50">
        <f t="shared" si="71"/>
        <v>0.55000000000000004</v>
      </c>
      <c r="L50">
        <f t="shared" si="40"/>
        <v>5</v>
      </c>
      <c r="M50">
        <v>5.5</v>
      </c>
      <c r="N50">
        <f t="shared" si="72"/>
        <v>325</v>
      </c>
      <c r="O50">
        <f t="shared" si="80"/>
        <v>203400</v>
      </c>
      <c r="P50">
        <f t="shared" si="81"/>
        <v>3520</v>
      </c>
      <c r="Q50">
        <f t="shared" si="82"/>
        <v>2010.619298297468</v>
      </c>
      <c r="R50">
        <f t="shared" si="73"/>
        <v>5530.619298297468</v>
      </c>
      <c r="S50">
        <f t="shared" si="6"/>
        <v>31025530.437040862</v>
      </c>
      <c r="T50">
        <f t="shared" si="74"/>
        <v>74.89843190471359</v>
      </c>
      <c r="U50">
        <f t="shared" si="75"/>
        <v>66.757071848460612</v>
      </c>
      <c r="V50">
        <f t="shared" si="76"/>
        <v>0.8494026519022716</v>
      </c>
      <c r="W50">
        <f t="shared" si="77"/>
        <v>1797.451271946677</v>
      </c>
      <c r="X50">
        <v>1335</v>
      </c>
      <c r="Y50">
        <f t="shared" si="11"/>
        <v>0.74271832612973554</v>
      </c>
      <c r="Z50" t="str">
        <f t="shared" si="12"/>
        <v>LC-C49</v>
      </c>
      <c r="AA50">
        <f t="shared" si="13"/>
        <v>490</v>
      </c>
      <c r="AB50">
        <f t="shared" si="83"/>
        <v>517.02058150931066</v>
      </c>
      <c r="AC50">
        <f t="shared" si="14"/>
        <v>458.89857374554873</v>
      </c>
      <c r="AD50">
        <f t="shared" si="15"/>
        <v>283.75598161340156</v>
      </c>
      <c r="AE50">
        <f t="shared" si="16"/>
        <v>421.06777384500498</v>
      </c>
      <c r="AF50">
        <f t="shared" si="78"/>
        <v>1990.6069919839208</v>
      </c>
      <c r="AG50">
        <f t="shared" si="18"/>
        <v>0.67064970904652765</v>
      </c>
    </row>
    <row r="51" spans="1:33" x14ac:dyDescent="0.25">
      <c r="A51">
        <v>50</v>
      </c>
      <c r="B51">
        <v>355</v>
      </c>
      <c r="C51">
        <v>205</v>
      </c>
      <c r="D51">
        <v>0.2</v>
      </c>
      <c r="E51">
        <v>6000</v>
      </c>
      <c r="F51">
        <v>110</v>
      </c>
      <c r="G51">
        <f t="shared" si="1"/>
        <v>198</v>
      </c>
      <c r="H51">
        <v>8</v>
      </c>
      <c r="I51">
        <f t="shared" si="70"/>
        <v>13.75</v>
      </c>
      <c r="J51">
        <f t="shared" si="79"/>
        <v>0.28906822465146947</v>
      </c>
      <c r="K51">
        <f t="shared" si="71"/>
        <v>0.55000000000000004</v>
      </c>
      <c r="L51">
        <f t="shared" si="40"/>
        <v>6</v>
      </c>
      <c r="M51">
        <v>5.5</v>
      </c>
      <c r="N51">
        <f t="shared" si="72"/>
        <v>325</v>
      </c>
      <c r="O51">
        <f t="shared" si="80"/>
        <v>203400</v>
      </c>
      <c r="P51">
        <f t="shared" si="81"/>
        <v>3520</v>
      </c>
      <c r="Q51">
        <f t="shared" si="82"/>
        <v>2010.619298297468</v>
      </c>
      <c r="R51">
        <f t="shared" si="73"/>
        <v>5530.619298297468</v>
      </c>
      <c r="S51">
        <f t="shared" si="6"/>
        <v>31025530.437040862</v>
      </c>
      <c r="T51">
        <f t="shared" si="74"/>
        <v>74.89843190471359</v>
      </c>
      <c r="U51">
        <f t="shared" si="75"/>
        <v>80.108486218152734</v>
      </c>
      <c r="V51">
        <f t="shared" si="76"/>
        <v>1.019283182282726</v>
      </c>
      <c r="W51">
        <f t="shared" si="77"/>
        <v>1797.451271946677</v>
      </c>
      <c r="X51">
        <v>1147.9000000000001</v>
      </c>
      <c r="Y51">
        <f t="shared" si="11"/>
        <v>0.63862649180848197</v>
      </c>
      <c r="Z51" t="str">
        <f t="shared" si="12"/>
        <v>LC-C50</v>
      </c>
      <c r="AA51">
        <f t="shared" si="13"/>
        <v>490</v>
      </c>
      <c r="AB51">
        <f t="shared" si="83"/>
        <v>517.02058150931066</v>
      </c>
      <c r="AC51">
        <f t="shared" si="14"/>
        <v>458.89857374554873</v>
      </c>
      <c r="AD51">
        <f t="shared" si="15"/>
        <v>283.75598161340156</v>
      </c>
      <c r="AE51">
        <f t="shared" si="16"/>
        <v>421.06777384500498</v>
      </c>
      <c r="AF51">
        <f t="shared" si="78"/>
        <v>1990.6069919839208</v>
      </c>
      <c r="AG51">
        <f t="shared" si="18"/>
        <v>0.57665827791349</v>
      </c>
    </row>
    <row r="52" spans="1:33" x14ac:dyDescent="0.25">
      <c r="A52">
        <v>51</v>
      </c>
      <c r="B52">
        <v>355</v>
      </c>
      <c r="C52">
        <v>205</v>
      </c>
      <c r="D52">
        <v>0.2</v>
      </c>
      <c r="E52">
        <v>7000</v>
      </c>
      <c r="F52">
        <v>110</v>
      </c>
      <c r="G52">
        <f t="shared" si="1"/>
        <v>198</v>
      </c>
      <c r="H52">
        <v>8</v>
      </c>
      <c r="I52">
        <f t="shared" si="70"/>
        <v>13.75</v>
      </c>
      <c r="J52">
        <f t="shared" si="79"/>
        <v>0.28906822465146947</v>
      </c>
      <c r="K52">
        <f t="shared" si="71"/>
        <v>0.55000000000000004</v>
      </c>
      <c r="L52">
        <f t="shared" si="40"/>
        <v>7</v>
      </c>
      <c r="M52">
        <v>5.5</v>
      </c>
      <c r="N52">
        <f t="shared" si="72"/>
        <v>325</v>
      </c>
      <c r="O52">
        <f t="shared" si="80"/>
        <v>203400</v>
      </c>
      <c r="P52">
        <f t="shared" si="81"/>
        <v>3520</v>
      </c>
      <c r="Q52">
        <f t="shared" si="82"/>
        <v>2010.619298297468</v>
      </c>
      <c r="R52">
        <f t="shared" si="73"/>
        <v>5530.619298297468</v>
      </c>
      <c r="S52">
        <f t="shared" si="6"/>
        <v>31025530.437040862</v>
      </c>
      <c r="T52">
        <f t="shared" si="74"/>
        <v>74.89843190471359</v>
      </c>
      <c r="U52">
        <f t="shared" si="75"/>
        <v>93.459900587844857</v>
      </c>
      <c r="V52">
        <f t="shared" si="76"/>
        <v>1.1891637126631802</v>
      </c>
      <c r="W52">
        <f t="shared" si="77"/>
        <v>1797.451271946677</v>
      </c>
      <c r="X52">
        <v>956.6</v>
      </c>
      <c r="Y52">
        <f t="shared" si="11"/>
        <v>0.53219801556232582</v>
      </c>
      <c r="Z52" t="str">
        <f t="shared" si="12"/>
        <v>LC-C51</v>
      </c>
      <c r="AA52">
        <f t="shared" si="13"/>
        <v>490</v>
      </c>
      <c r="AB52">
        <f t="shared" si="83"/>
        <v>517.02058150931066</v>
      </c>
      <c r="AC52">
        <f t="shared" si="14"/>
        <v>458.89857374554873</v>
      </c>
      <c r="AD52">
        <f t="shared" si="15"/>
        <v>283.75598161340156</v>
      </c>
      <c r="AE52">
        <f t="shared" si="16"/>
        <v>421.06777384500498</v>
      </c>
      <c r="AF52">
        <f t="shared" si="78"/>
        <v>1990.6069919839208</v>
      </c>
      <c r="AG52">
        <f t="shared" si="18"/>
        <v>0.48055693758345192</v>
      </c>
    </row>
    <row r="53" spans="1:33" x14ac:dyDescent="0.25">
      <c r="A53">
        <v>52</v>
      </c>
      <c r="B53">
        <v>355</v>
      </c>
      <c r="C53">
        <v>205</v>
      </c>
      <c r="D53">
        <v>0.2</v>
      </c>
      <c r="E53">
        <v>8000</v>
      </c>
      <c r="F53">
        <v>110</v>
      </c>
      <c r="G53">
        <f t="shared" si="1"/>
        <v>198</v>
      </c>
      <c r="H53">
        <v>8</v>
      </c>
      <c r="I53">
        <f t="shared" si="70"/>
        <v>13.75</v>
      </c>
      <c r="J53">
        <f t="shared" si="79"/>
        <v>0.28906822465146947</v>
      </c>
      <c r="K53">
        <f t="shared" si="71"/>
        <v>0.55000000000000004</v>
      </c>
      <c r="L53">
        <f t="shared" si="40"/>
        <v>8</v>
      </c>
      <c r="M53">
        <v>5.5</v>
      </c>
      <c r="N53">
        <f t="shared" si="72"/>
        <v>325</v>
      </c>
      <c r="O53">
        <f t="shared" si="80"/>
        <v>203400</v>
      </c>
      <c r="P53">
        <f t="shared" si="81"/>
        <v>3520</v>
      </c>
      <c r="Q53">
        <f t="shared" si="82"/>
        <v>2010.619298297468</v>
      </c>
      <c r="R53">
        <f t="shared" si="73"/>
        <v>5530.619298297468</v>
      </c>
      <c r="S53">
        <f t="shared" si="6"/>
        <v>31025530.437040862</v>
      </c>
      <c r="T53">
        <f t="shared" si="74"/>
        <v>74.89843190471359</v>
      </c>
      <c r="U53">
        <f t="shared" si="75"/>
        <v>106.81131495753698</v>
      </c>
      <c r="V53">
        <f t="shared" si="76"/>
        <v>1.3590442430436345</v>
      </c>
      <c r="W53">
        <f t="shared" si="77"/>
        <v>1797.451271946677</v>
      </c>
      <c r="X53">
        <v>788.4</v>
      </c>
      <c r="Y53">
        <f t="shared" si="11"/>
        <v>0.43862106990313371</v>
      </c>
      <c r="Z53" t="str">
        <f t="shared" si="12"/>
        <v>LC-C52</v>
      </c>
      <c r="AA53">
        <f t="shared" si="13"/>
        <v>490</v>
      </c>
      <c r="AB53">
        <f t="shared" si="83"/>
        <v>517.02058150931066</v>
      </c>
      <c r="AC53">
        <f t="shared" si="14"/>
        <v>458.89857374554873</v>
      </c>
      <c r="AD53">
        <f t="shared" si="15"/>
        <v>283.75598161340156</v>
      </c>
      <c r="AE53">
        <f t="shared" si="16"/>
        <v>421.06777384500498</v>
      </c>
      <c r="AF53">
        <f t="shared" si="78"/>
        <v>1990.6069919839208</v>
      </c>
      <c r="AG53">
        <f t="shared" si="18"/>
        <v>0.39606009783691559</v>
      </c>
    </row>
    <row r="54" spans="1:33" x14ac:dyDescent="0.25">
      <c r="A54">
        <v>53</v>
      </c>
      <c r="B54">
        <v>355</v>
      </c>
      <c r="C54">
        <v>205</v>
      </c>
      <c r="D54">
        <v>0.2</v>
      </c>
      <c r="E54">
        <v>9000</v>
      </c>
      <c r="F54">
        <v>110</v>
      </c>
      <c r="G54">
        <f t="shared" si="1"/>
        <v>198</v>
      </c>
      <c r="H54">
        <v>8</v>
      </c>
      <c r="I54">
        <f t="shared" si="70"/>
        <v>13.75</v>
      </c>
      <c r="J54">
        <f t="shared" si="79"/>
        <v>0.28906822465146947</v>
      </c>
      <c r="K54">
        <f t="shared" si="71"/>
        <v>0.55000000000000004</v>
      </c>
      <c r="L54">
        <f t="shared" si="40"/>
        <v>9</v>
      </c>
      <c r="M54">
        <v>5.5</v>
      </c>
      <c r="N54">
        <f t="shared" si="72"/>
        <v>325</v>
      </c>
      <c r="O54">
        <f t="shared" si="80"/>
        <v>203400</v>
      </c>
      <c r="P54">
        <f t="shared" si="81"/>
        <v>3520</v>
      </c>
      <c r="Q54">
        <f t="shared" si="82"/>
        <v>2010.619298297468</v>
      </c>
      <c r="R54">
        <f t="shared" si="73"/>
        <v>5530.619298297468</v>
      </c>
      <c r="S54">
        <f t="shared" si="6"/>
        <v>31025530.437040862</v>
      </c>
      <c r="T54">
        <f t="shared" si="74"/>
        <v>74.89843190471359</v>
      </c>
      <c r="U54">
        <f t="shared" si="75"/>
        <v>120.1627293272291</v>
      </c>
      <c r="V54">
        <f t="shared" si="76"/>
        <v>1.5289247734240889</v>
      </c>
      <c r="W54">
        <f t="shared" si="77"/>
        <v>1797.451271946677</v>
      </c>
      <c r="X54">
        <v>650.79999999999995</v>
      </c>
      <c r="Y54">
        <f t="shared" si="11"/>
        <v>0.36206822969680286</v>
      </c>
      <c r="Z54" t="str">
        <f t="shared" si="12"/>
        <v>LC-C53</v>
      </c>
      <c r="AA54">
        <f t="shared" si="13"/>
        <v>490</v>
      </c>
      <c r="AB54">
        <f t="shared" si="83"/>
        <v>517.02058150931066</v>
      </c>
      <c r="AC54">
        <f t="shared" si="14"/>
        <v>458.89857374554873</v>
      </c>
      <c r="AD54">
        <f t="shared" si="15"/>
        <v>283.75598161340156</v>
      </c>
      <c r="AE54">
        <f t="shared" si="16"/>
        <v>421.06777384500498</v>
      </c>
      <c r="AF54">
        <f t="shared" si="78"/>
        <v>1990.6069919839208</v>
      </c>
      <c r="AG54">
        <f t="shared" si="18"/>
        <v>0.32693545366852445</v>
      </c>
    </row>
    <row r="55" spans="1:33" x14ac:dyDescent="0.25">
      <c r="A55">
        <v>54</v>
      </c>
      <c r="B55">
        <v>355</v>
      </c>
      <c r="C55">
        <v>205</v>
      </c>
      <c r="D55">
        <v>0.2</v>
      </c>
      <c r="E55">
        <v>10000</v>
      </c>
      <c r="F55">
        <v>110</v>
      </c>
      <c r="G55">
        <f t="shared" si="1"/>
        <v>198</v>
      </c>
      <c r="H55">
        <v>8</v>
      </c>
      <c r="I55">
        <f t="shared" si="70"/>
        <v>13.75</v>
      </c>
      <c r="J55">
        <f t="shared" si="79"/>
        <v>0.28906822465146947</v>
      </c>
      <c r="K55">
        <f t="shared" si="71"/>
        <v>0.55000000000000004</v>
      </c>
      <c r="L55">
        <f t="shared" si="40"/>
        <v>10</v>
      </c>
      <c r="M55">
        <v>5.5</v>
      </c>
      <c r="N55">
        <f t="shared" si="72"/>
        <v>325</v>
      </c>
      <c r="O55">
        <f t="shared" si="80"/>
        <v>203400</v>
      </c>
      <c r="P55">
        <f t="shared" si="81"/>
        <v>3520</v>
      </c>
      <c r="Q55">
        <f t="shared" si="82"/>
        <v>2010.619298297468</v>
      </c>
      <c r="R55">
        <f t="shared" si="73"/>
        <v>5530.619298297468</v>
      </c>
      <c r="S55">
        <f t="shared" si="6"/>
        <v>31025530.437040862</v>
      </c>
      <c r="T55">
        <f t="shared" si="74"/>
        <v>74.89843190471359</v>
      </c>
      <c r="U55">
        <f t="shared" si="75"/>
        <v>133.51414369692122</v>
      </c>
      <c r="V55">
        <f t="shared" si="76"/>
        <v>1.6988053038045432</v>
      </c>
      <c r="W55">
        <f t="shared" si="77"/>
        <v>1797.451271946677</v>
      </c>
      <c r="X55">
        <v>541.6</v>
      </c>
      <c r="Y55">
        <f t="shared" si="11"/>
        <v>0.30131553964933688</v>
      </c>
      <c r="Z55" t="str">
        <f t="shared" si="12"/>
        <v>LC-C54</v>
      </c>
      <c r="AA55">
        <f t="shared" si="13"/>
        <v>490</v>
      </c>
      <c r="AB55">
        <f>C55/(0.2+185*C55/193000)</f>
        <v>517.02058150931066</v>
      </c>
      <c r="AC55">
        <f t="shared" si="14"/>
        <v>458.89857374554873</v>
      </c>
      <c r="AD55">
        <f t="shared" si="15"/>
        <v>283.75598161340156</v>
      </c>
      <c r="AE55">
        <f t="shared" si="16"/>
        <v>421.06777384500498</v>
      </c>
      <c r="AF55">
        <f>(AE55*Q55+N55*P55)/1000</f>
        <v>1990.6069919839208</v>
      </c>
      <c r="AG55">
        <f t="shared" si="18"/>
        <v>0.27207781454651636</v>
      </c>
    </row>
    <row r="56" spans="1:33" x14ac:dyDescent="0.25">
      <c r="A56">
        <v>55</v>
      </c>
      <c r="B56">
        <v>355</v>
      </c>
      <c r="C56">
        <v>205</v>
      </c>
      <c r="D56">
        <v>0.2</v>
      </c>
      <c r="E56">
        <v>12000</v>
      </c>
      <c r="F56">
        <v>110</v>
      </c>
      <c r="G56">
        <f t="shared" si="1"/>
        <v>198</v>
      </c>
      <c r="H56">
        <v>8</v>
      </c>
      <c r="I56">
        <f t="shared" si="70"/>
        <v>13.75</v>
      </c>
      <c r="J56">
        <f t="shared" si="79"/>
        <v>0.28906822465146947</v>
      </c>
      <c r="K56">
        <f t="shared" si="71"/>
        <v>0.55000000000000004</v>
      </c>
      <c r="L56">
        <f t="shared" si="40"/>
        <v>12</v>
      </c>
      <c r="M56">
        <v>5.5</v>
      </c>
      <c r="N56">
        <f t="shared" si="72"/>
        <v>325</v>
      </c>
      <c r="O56">
        <f t="shared" si="80"/>
        <v>203400</v>
      </c>
      <c r="P56">
        <f t="shared" si="81"/>
        <v>3520</v>
      </c>
      <c r="Q56">
        <f t="shared" si="82"/>
        <v>2010.619298297468</v>
      </c>
      <c r="R56">
        <f t="shared" si="73"/>
        <v>5530.619298297468</v>
      </c>
      <c r="S56">
        <f t="shared" si="6"/>
        <v>31025530.437040862</v>
      </c>
      <c r="T56">
        <f t="shared" si="74"/>
        <v>74.89843190471359</v>
      </c>
      <c r="U56">
        <f t="shared" si="75"/>
        <v>160.21697243630547</v>
      </c>
      <c r="V56">
        <f t="shared" si="76"/>
        <v>2.0385663645654519</v>
      </c>
      <c r="W56">
        <f t="shared" si="77"/>
        <v>1797.451271946677</v>
      </c>
      <c r="X56">
        <v>388.5</v>
      </c>
      <c r="Y56">
        <f t="shared" si="11"/>
        <v>0.21613937805348482</v>
      </c>
      <c r="Z56" t="str">
        <f t="shared" si="12"/>
        <v>LC-C55</v>
      </c>
      <c r="AA56">
        <f t="shared" si="13"/>
        <v>490</v>
      </c>
      <c r="AB56">
        <f>C56/(0.2+185*C56/193000)</f>
        <v>517.02058150931066</v>
      </c>
      <c r="AC56">
        <f t="shared" si="14"/>
        <v>458.89857374554873</v>
      </c>
      <c r="AD56">
        <f t="shared" si="15"/>
        <v>283.75598161340156</v>
      </c>
      <c r="AE56">
        <f t="shared" si="16"/>
        <v>421.06777384500498</v>
      </c>
      <c r="AF56">
        <f t="shared" ref="AF56" si="84">(AE56*Q56+N56*P56)/1000</f>
        <v>1990.6069919839208</v>
      </c>
      <c r="AG56">
        <f t="shared" si="18"/>
        <v>0.19516660072252881</v>
      </c>
    </row>
    <row r="80" spans="24:35" x14ac:dyDescent="0.25"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</row>
    <row r="81" spans="24:35" x14ac:dyDescent="0.25"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</row>
    <row r="82" spans="24:35" x14ac:dyDescent="0.25"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</row>
    <row r="83" spans="24:35" x14ac:dyDescent="0.25"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</row>
    <row r="84" spans="24:35" x14ac:dyDescent="0.25"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</row>
    <row r="85" spans="24:35" x14ac:dyDescent="0.25"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</row>
    <row r="86" spans="24:35" x14ac:dyDescent="0.25"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</row>
    <row r="87" spans="24:35" x14ac:dyDescent="0.25"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</row>
    <row r="88" spans="24:35" x14ac:dyDescent="0.25"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</row>
    <row r="89" spans="24:35" x14ac:dyDescent="0.25"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</row>
    <row r="90" spans="24:35" x14ac:dyDescent="0.25"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E6919-7989-4144-AAE0-FAE58CB47753}">
  <dimension ref="A1:AG89"/>
  <sheetViews>
    <sheetView tabSelected="1" topLeftCell="C1" zoomScaleNormal="100" workbookViewId="0">
      <selection activeCell="R18" sqref="R18"/>
    </sheetView>
  </sheetViews>
  <sheetFormatPr defaultRowHeight="13.8" x14ac:dyDescent="0.25"/>
  <sheetData>
    <row r="1" spans="1:33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30</v>
      </c>
      <c r="F1" s="1" t="s">
        <v>31</v>
      </c>
      <c r="G1" t="s">
        <v>4</v>
      </c>
      <c r="H1" s="4" t="s">
        <v>5</v>
      </c>
      <c r="I1" s="4" t="s">
        <v>6</v>
      </c>
      <c r="J1" s="6" t="s">
        <v>26</v>
      </c>
      <c r="K1" s="1" t="s">
        <v>25</v>
      </c>
      <c r="L1" s="1" t="s">
        <v>24</v>
      </c>
      <c r="M1" s="1" t="s">
        <v>22</v>
      </c>
      <c r="N1" t="s">
        <v>7</v>
      </c>
      <c r="O1" t="s">
        <v>8</v>
      </c>
      <c r="P1" t="s">
        <v>9</v>
      </c>
      <c r="Q1" t="s">
        <v>10</v>
      </c>
      <c r="R1" t="s">
        <v>11</v>
      </c>
      <c r="S1" t="s">
        <v>28</v>
      </c>
      <c r="T1" t="s">
        <v>23</v>
      </c>
      <c r="U1" t="s">
        <v>29</v>
      </c>
      <c r="V1" s="5" t="s">
        <v>27</v>
      </c>
      <c r="W1" s="2" t="s">
        <v>12</v>
      </c>
      <c r="X1" s="2" t="s">
        <v>13</v>
      </c>
      <c r="Y1" s="3" t="s">
        <v>14</v>
      </c>
      <c r="Z1" s="3" t="s">
        <v>32</v>
      </c>
      <c r="AA1" t="s">
        <v>15</v>
      </c>
      <c r="AB1" t="s">
        <v>16</v>
      </c>
      <c r="AC1" t="s">
        <v>17</v>
      </c>
      <c r="AD1" t="s">
        <v>18</v>
      </c>
      <c r="AE1" t="s">
        <v>19</v>
      </c>
      <c r="AF1" s="2" t="s">
        <v>20</v>
      </c>
      <c r="AG1" s="3" t="s">
        <v>21</v>
      </c>
    </row>
    <row r="2" spans="1:33" x14ac:dyDescent="0.25">
      <c r="A2">
        <v>1</v>
      </c>
      <c r="B2">
        <v>355</v>
      </c>
      <c r="C2">
        <v>205</v>
      </c>
      <c r="D2">
        <v>0.2</v>
      </c>
      <c r="E2">
        <f>U2*T2</f>
        <v>2410.1975105108445</v>
      </c>
      <c r="F2">
        <v>110</v>
      </c>
      <c r="G2">
        <f>F2+2*H2*M2</f>
        <v>134</v>
      </c>
      <c r="H2">
        <v>8</v>
      </c>
      <c r="I2">
        <f>F2/H2</f>
        <v>13.75</v>
      </c>
      <c r="J2">
        <f>SQRT(12*(1-0.3^2)*I2^2*N2/(4*PI()^2*O2))</f>
        <v>0.28906822465146947</v>
      </c>
      <c r="K2">
        <f>H2*I2/200</f>
        <v>0.55000000000000004</v>
      </c>
      <c r="L2">
        <f t="shared" ref="L2:L6" si="0">E2/1000</f>
        <v>2.4101975105108444</v>
      </c>
      <c r="M2">
        <v>1.5</v>
      </c>
      <c r="N2">
        <f>D2*C2+(1-D2)*B2</f>
        <v>325</v>
      </c>
      <c r="O2">
        <f>193000*D2+(1-D2)*206000</f>
        <v>203400</v>
      </c>
      <c r="P2">
        <f>H2*I2*H2*4</f>
        <v>3520</v>
      </c>
      <c r="Q2">
        <f>PI()*(M2*H2)^2-PI()*((M2-1)*H2)^2</f>
        <v>402.12385965949352</v>
      </c>
      <c r="R2">
        <f>P2+Q2</f>
        <v>3922.1238596594935</v>
      </c>
      <c r="S2">
        <f>1/12*H2*(H2*I2)^3*2+(1/12*(H2*I2)*H2^3+(H2*I2)*H2*(G2/2-H2/2)^2)*2+PI()/8*((M2*H2)^4-((M2-1)*H2)^4)*2+1/2*PI()*((M2*H2)^2-((M2-1)*H2)^2)*(-1*((4*((M2*H2)^3-((M2-1)*H2)^3))/(3*PI()*((M2*H2)^2-((M2-1)*H2)^2)))^2+1*((4*((M2*H2)^3-((M2-1)*H2)^3))/(3*PI()*((M2*H2)^2-((M2-1)*H2)^2))+H2*I2/2)^2)*2</f>
        <v>10246056.296523014</v>
      </c>
      <c r="T2">
        <f>SQRT(S2/R2)</f>
        <v>51.111392904395153</v>
      </c>
      <c r="U2">
        <f>PI()*V2*SQRT(O2/N2)</f>
        <v>47.155778262963118</v>
      </c>
      <c r="V2">
        <v>0.6</v>
      </c>
      <c r="W2">
        <f>R2*N2/1000</f>
        <v>1274.6902543893355</v>
      </c>
      <c r="X2">
        <v>1020.1</v>
      </c>
      <c r="Y2">
        <f>X2/W2</f>
        <v>0.80027284784466979</v>
      </c>
      <c r="Z2" t="str">
        <f>"LC-cn"&amp;A2</f>
        <v>LC-cn1</v>
      </c>
      <c r="AA2">
        <f>IF(B2=235,360,IF(B2=355,490,560))</f>
        <v>490</v>
      </c>
      <c r="AB2">
        <f>C2/(0.2+185*C2/193000)</f>
        <v>517.02058150931066</v>
      </c>
      <c r="AC2">
        <f>B2*(2.769*(AA2/B2)-0.581*(AA2/B2)^2-1.182)/((M2-1)^(0.314*(AA2/B2)-0.32))</f>
        <v>588.75671369876318</v>
      </c>
      <c r="AD2">
        <f>1.673*C2/(M2-1)^0.126</f>
        <v>374.26531559414582</v>
      </c>
      <c r="AE2">
        <f>AC2*(1-((2*M2*H2-D2*H2)/(2*M2*H2-H2)*D2))+AD2*((2*M2*H2-D2*H2)/(2*M2*H2-H2)*D2)</f>
        <v>528.69912222947028</v>
      </c>
      <c r="AF2">
        <f>(AE2*Q2+N2*P2)/1000</f>
        <v>1356.6025316295008</v>
      </c>
      <c r="AG2">
        <f>X2/AF2</f>
        <v>0.75195200968311149</v>
      </c>
    </row>
    <row r="3" spans="1:33" x14ac:dyDescent="0.25">
      <c r="A3">
        <v>2</v>
      </c>
      <c r="B3">
        <v>355</v>
      </c>
      <c r="C3">
        <v>205</v>
      </c>
      <c r="D3">
        <v>0.2</v>
      </c>
      <c r="E3">
        <f t="shared" ref="E3:E6" si="1">U3*T3</f>
        <v>2694.4576116132266</v>
      </c>
      <c r="F3">
        <v>110</v>
      </c>
      <c r="G3">
        <f t="shared" ref="G3:G21" si="2">F3+2*H3*M3</f>
        <v>150</v>
      </c>
      <c r="H3">
        <v>8</v>
      </c>
      <c r="I3">
        <f t="shared" ref="I3:I6" si="3">F3/H3</f>
        <v>13.75</v>
      </c>
      <c r="J3">
        <f t="shared" ref="J3:J6" si="4">SQRT(12*(1-0.3^2)*I3^2*N3/(4*PI()^2*O3))</f>
        <v>0.28906822465146947</v>
      </c>
      <c r="K3">
        <f t="shared" ref="K3:K6" si="5">H3*I3/200</f>
        <v>0.55000000000000004</v>
      </c>
      <c r="L3">
        <f t="shared" si="0"/>
        <v>2.6944576116132266</v>
      </c>
      <c r="M3">
        <v>2.5</v>
      </c>
      <c r="N3">
        <f>D3*C3+(1-D3)*B3</f>
        <v>325</v>
      </c>
      <c r="O3">
        <f t="shared" ref="O3:O6" si="6">193000*D3+(1-D3)*206000</f>
        <v>203400</v>
      </c>
      <c r="P3">
        <f t="shared" ref="P3:P6" si="7">H3*I3*H3*4</f>
        <v>3520</v>
      </c>
      <c r="Q3">
        <f t="shared" ref="Q3:Q6" si="8">PI()*(M3*H3)^2-PI()*((M3-1)*H3)^2</f>
        <v>804.24771931898704</v>
      </c>
      <c r="R3">
        <f t="shared" ref="R3:R6" si="9">P3+Q3</f>
        <v>4324.247719318987</v>
      </c>
      <c r="S3">
        <f t="shared" ref="S3:S21" si="10">1/12*H3*(H3*I3)^3*2+(1/12*(H3*I3)*H3^3+(H3*I3)*H3*(G3/2-H3/2)^2)*2+PI()/8*((M3*H3)^4-((M3-1)*H3)^4)*2+1/2*PI()*((M3*H3)^2-((M3-1)*H3)^2)*(-1*((4*((M3*H3)^3-((M3-1)*H3)^3))/(3*PI()*((M3*H3)^2-((M3-1)*H3)^2)))^2+1*((4*((M3*H3)^3-((M3-1)*H3)^3))/(3*PI()*((M3*H3)^2-((M3-1)*H3)^2))+H3*I3/2)^2)*2</f>
        <v>14118333.707433984</v>
      </c>
      <c r="T3">
        <f t="shared" ref="T3:T6" si="11">SQRT(S3/R3)</f>
        <v>57.139500414724267</v>
      </c>
      <c r="U3">
        <f t="shared" ref="U3:U6" si="12">PI()*V3*SQRT(O3/N3)</f>
        <v>47.155778262963118</v>
      </c>
      <c r="V3">
        <v>0.6</v>
      </c>
      <c r="W3">
        <f t="shared" ref="W3:W6" si="13">R3*N3/1000</f>
        <v>1405.3805087786709</v>
      </c>
      <c r="X3">
        <v>1167.2</v>
      </c>
      <c r="Y3">
        <f t="shared" ref="Y3:Y21" si="14">X3/W3</f>
        <v>0.83052240493525931</v>
      </c>
      <c r="Z3" t="str">
        <f t="shared" ref="Z3:Z21" si="15">"LC-cn"&amp;A3</f>
        <v>LC-cn2</v>
      </c>
      <c r="AA3">
        <f t="shared" ref="AA3:AA21" si="16">IF(B3=235,360,IF(B3=355,490,560))</f>
        <v>490</v>
      </c>
      <c r="AB3">
        <f>C3/(0.2+185*C3/193000)</f>
        <v>517.02058150931066</v>
      </c>
      <c r="AC3">
        <f t="shared" ref="AC3:AC21" si="17">B3*(2.769*(AA3/B3)-0.581*(AA3/B3)^2-1.182)/((M3-1)^(0.314*(AA3/B3)-0.32))</f>
        <v>519.7880493042129</v>
      </c>
      <c r="AD3">
        <f t="shared" ref="AD3:AD21" si="18">1.673*C3/(M3-1)^0.126</f>
        <v>325.88344850615891</v>
      </c>
      <c r="AE3">
        <f t="shared" ref="AE3:AE21" si="19">AC3*(1-((2*M3*H3-D3*H3)/(2*M3*H3-H3)*D3))+AD3*((2*M3*H3-D3*H3)/(2*M3*H3-H3)*D3)</f>
        <v>473.25094511267991</v>
      </c>
      <c r="AF3">
        <f t="shared" ref="AF3:AF12" si="20">(AE3*Q3+N3*P3)/1000</f>
        <v>1524.610993272428</v>
      </c>
      <c r="AG3">
        <f t="shared" ref="AG3:AG21" si="21">X3/AF3</f>
        <v>0.76557233625524346</v>
      </c>
    </row>
    <row r="4" spans="1:33" x14ac:dyDescent="0.25">
      <c r="A4">
        <v>3</v>
      </c>
      <c r="B4">
        <v>355</v>
      </c>
      <c r="C4">
        <v>205</v>
      </c>
      <c r="D4">
        <v>0.2</v>
      </c>
      <c r="E4">
        <f t="shared" si="1"/>
        <v>2975.7113056264243</v>
      </c>
      <c r="F4">
        <v>110</v>
      </c>
      <c r="G4">
        <f t="shared" si="2"/>
        <v>166</v>
      </c>
      <c r="H4">
        <v>8</v>
      </c>
      <c r="I4">
        <f t="shared" si="3"/>
        <v>13.75</v>
      </c>
      <c r="J4">
        <f t="shared" si="4"/>
        <v>0.28906822465146947</v>
      </c>
      <c r="K4">
        <f t="shared" si="5"/>
        <v>0.55000000000000004</v>
      </c>
      <c r="L4">
        <f t="shared" si="0"/>
        <v>2.9757113056264242</v>
      </c>
      <c r="M4">
        <v>3.5</v>
      </c>
      <c r="N4">
        <f t="shared" ref="N4:N6" si="22">D4*C4+(1-D4)*B4</f>
        <v>325</v>
      </c>
      <c r="O4">
        <f t="shared" si="6"/>
        <v>203400</v>
      </c>
      <c r="P4">
        <f t="shared" si="7"/>
        <v>3520</v>
      </c>
      <c r="Q4">
        <f t="shared" si="8"/>
        <v>1206.3715789784803</v>
      </c>
      <c r="R4">
        <f t="shared" si="9"/>
        <v>4726.3715789784801</v>
      </c>
      <c r="S4">
        <f t="shared" si="10"/>
        <v>18820866.680454198</v>
      </c>
      <c r="T4">
        <f t="shared" si="11"/>
        <v>63.103853127657828</v>
      </c>
      <c r="U4">
        <f t="shared" si="12"/>
        <v>47.155778262963118</v>
      </c>
      <c r="V4">
        <v>0.6</v>
      </c>
      <c r="W4">
        <f t="shared" si="13"/>
        <v>1536.0707631680059</v>
      </c>
      <c r="X4">
        <v>1303.9000000000001</v>
      </c>
      <c r="Y4">
        <f t="shared" si="14"/>
        <v>0.84885412265176197</v>
      </c>
      <c r="Z4" t="str">
        <f t="shared" si="15"/>
        <v>LC-cn3</v>
      </c>
      <c r="AA4">
        <f t="shared" si="16"/>
        <v>490</v>
      </c>
      <c r="AB4">
        <f>C4/(0.2+185*C4/193000)</f>
        <v>517.02058150931066</v>
      </c>
      <c r="AC4">
        <f t="shared" si="17"/>
        <v>490.5313485704678</v>
      </c>
      <c r="AD4">
        <f t="shared" si="18"/>
        <v>305.56904784310274</v>
      </c>
      <c r="AE4">
        <f t="shared" si="19"/>
        <v>448.60656040559837</v>
      </c>
      <c r="AF4">
        <f t="shared" si="20"/>
        <v>1685.1862046166068</v>
      </c>
      <c r="AG4">
        <f t="shared" si="21"/>
        <v>0.7737423890772045</v>
      </c>
    </row>
    <row r="5" spans="1:33" x14ac:dyDescent="0.25">
      <c r="A5">
        <v>4</v>
      </c>
      <c r="B5">
        <v>355</v>
      </c>
      <c r="C5">
        <v>205</v>
      </c>
      <c r="D5">
        <v>0.2</v>
      </c>
      <c r="E5">
        <f t="shared" si="1"/>
        <v>3254.6877867611524</v>
      </c>
      <c r="F5">
        <v>110</v>
      </c>
      <c r="G5">
        <f t="shared" si="2"/>
        <v>182</v>
      </c>
      <c r="H5">
        <v>8</v>
      </c>
      <c r="I5">
        <f t="shared" si="3"/>
        <v>13.75</v>
      </c>
      <c r="J5">
        <f t="shared" si="4"/>
        <v>0.28906822465146947</v>
      </c>
      <c r="K5">
        <f t="shared" si="5"/>
        <v>0.55000000000000004</v>
      </c>
      <c r="L5">
        <f t="shared" si="0"/>
        <v>3.2546877867611523</v>
      </c>
      <c r="M5">
        <v>4.5</v>
      </c>
      <c r="N5">
        <f t="shared" si="22"/>
        <v>325</v>
      </c>
      <c r="O5">
        <f t="shared" si="6"/>
        <v>203400</v>
      </c>
      <c r="P5">
        <f t="shared" si="7"/>
        <v>3520</v>
      </c>
      <c r="Q5">
        <f t="shared" si="8"/>
        <v>1608.4954386379741</v>
      </c>
      <c r="R5">
        <f t="shared" si="9"/>
        <v>5128.4954386379741</v>
      </c>
      <c r="S5">
        <f t="shared" si="10"/>
        <v>24430862.996638283</v>
      </c>
      <c r="T5">
        <f t="shared" si="11"/>
        <v>69.01991456087228</v>
      </c>
      <c r="U5">
        <f t="shared" si="12"/>
        <v>47.155778262963118</v>
      </c>
      <c r="V5">
        <v>0.6</v>
      </c>
      <c r="W5">
        <f t="shared" si="13"/>
        <v>1666.7610175573416</v>
      </c>
      <c r="X5">
        <v>1428.3</v>
      </c>
      <c r="Y5">
        <f t="shared" si="14"/>
        <v>0.85693148865047908</v>
      </c>
      <c r="Z5" t="str">
        <f t="shared" si="15"/>
        <v>LC-cn4</v>
      </c>
      <c r="AA5">
        <f t="shared" si="16"/>
        <v>490</v>
      </c>
      <c r="AB5">
        <f t="shared" ref="AB5:AB12" si="23">C5/(0.2+185*C5/193000)</f>
        <v>517.02058150931066</v>
      </c>
      <c r="AC5">
        <f t="shared" si="17"/>
        <v>472.16589361674886</v>
      </c>
      <c r="AD5">
        <f t="shared" si="18"/>
        <v>292.88506637012813</v>
      </c>
      <c r="AE5">
        <f t="shared" si="19"/>
        <v>432.72411162249233</v>
      </c>
      <c r="AF5">
        <f t="shared" si="20"/>
        <v>1840.0347597334485</v>
      </c>
      <c r="AG5">
        <f t="shared" si="21"/>
        <v>0.77623533601447103</v>
      </c>
    </row>
    <row r="6" spans="1:33" x14ac:dyDescent="0.25">
      <c r="A6">
        <v>5</v>
      </c>
      <c r="B6">
        <v>355</v>
      </c>
      <c r="C6">
        <v>205</v>
      </c>
      <c r="D6">
        <v>0.2</v>
      </c>
      <c r="E6">
        <f t="shared" si="1"/>
        <v>3531.8938471423162</v>
      </c>
      <c r="F6">
        <v>110</v>
      </c>
      <c r="G6">
        <f t="shared" si="2"/>
        <v>198</v>
      </c>
      <c r="H6">
        <v>8</v>
      </c>
      <c r="I6">
        <f t="shared" si="3"/>
        <v>13.75</v>
      </c>
      <c r="J6">
        <f t="shared" si="4"/>
        <v>0.28906822465146947</v>
      </c>
      <c r="K6">
        <f t="shared" si="5"/>
        <v>0.55000000000000004</v>
      </c>
      <c r="L6">
        <f t="shared" si="0"/>
        <v>3.531893847142316</v>
      </c>
      <c r="M6">
        <v>5.5</v>
      </c>
      <c r="N6">
        <f t="shared" si="22"/>
        <v>325</v>
      </c>
      <c r="O6">
        <f t="shared" si="6"/>
        <v>203400</v>
      </c>
      <c r="P6">
        <f t="shared" si="7"/>
        <v>3520</v>
      </c>
      <c r="Q6">
        <f t="shared" si="8"/>
        <v>2010.619298297468</v>
      </c>
      <c r="R6">
        <f t="shared" si="9"/>
        <v>5530.619298297468</v>
      </c>
      <c r="S6">
        <f t="shared" si="10"/>
        <v>31025530.437040862</v>
      </c>
      <c r="T6">
        <f t="shared" si="11"/>
        <v>74.89843190471359</v>
      </c>
      <c r="U6">
        <f t="shared" si="12"/>
        <v>47.155778262963118</v>
      </c>
      <c r="V6">
        <v>0.6</v>
      </c>
      <c r="W6">
        <f t="shared" si="13"/>
        <v>1797.451271946677</v>
      </c>
      <c r="X6">
        <v>1554.1</v>
      </c>
      <c r="Y6">
        <f t="shared" si="14"/>
        <v>0.8646131465454846</v>
      </c>
      <c r="Z6" t="str">
        <f t="shared" si="15"/>
        <v>LC-cn5</v>
      </c>
      <c r="AA6">
        <f t="shared" si="16"/>
        <v>490</v>
      </c>
      <c r="AB6">
        <f t="shared" si="23"/>
        <v>517.02058150931066</v>
      </c>
      <c r="AC6">
        <f t="shared" si="17"/>
        <v>458.89857374554873</v>
      </c>
      <c r="AD6">
        <f t="shared" si="18"/>
        <v>283.75598161340156</v>
      </c>
      <c r="AE6">
        <f t="shared" si="19"/>
        <v>421.06777384500498</v>
      </c>
      <c r="AF6">
        <f t="shared" si="20"/>
        <v>1990.6069919839208</v>
      </c>
      <c r="AG6">
        <f t="shared" si="21"/>
        <v>0.78071663882337716</v>
      </c>
    </row>
    <row r="7" spans="1:33" x14ac:dyDescent="0.25">
      <c r="A7">
        <v>6</v>
      </c>
      <c r="B7">
        <v>355</v>
      </c>
      <c r="C7">
        <v>205</v>
      </c>
      <c r="D7">
        <v>0.2</v>
      </c>
      <c r="E7">
        <f>U7*T7</f>
        <v>4820.395021021689</v>
      </c>
      <c r="F7">
        <v>110</v>
      </c>
      <c r="G7">
        <f t="shared" si="2"/>
        <v>134</v>
      </c>
      <c r="H7">
        <v>8</v>
      </c>
      <c r="I7">
        <f>F7/H7</f>
        <v>13.75</v>
      </c>
      <c r="J7">
        <f>SQRT(12*(1-0.3^2)*I7^2*N7/(4*PI()^2*O7))</f>
        <v>0.28906822465146947</v>
      </c>
      <c r="K7">
        <f>H7*I7/200</f>
        <v>0.55000000000000004</v>
      </c>
      <c r="L7">
        <f t="shared" ref="L7:L16" si="24">E7/1000</f>
        <v>4.8203950210216888</v>
      </c>
      <c r="M7">
        <v>1.5</v>
      </c>
      <c r="N7">
        <f>D7*C7+(1-D7)*B7</f>
        <v>325</v>
      </c>
      <c r="O7">
        <f>193000*D7+(1-D7)*206000</f>
        <v>203400</v>
      </c>
      <c r="P7">
        <f>H7*I7*H7*4</f>
        <v>3520</v>
      </c>
      <c r="Q7">
        <f>PI()*(M7*H7)^2-PI()*((M7-1)*H7)^2</f>
        <v>402.12385965949352</v>
      </c>
      <c r="R7">
        <f>P7+Q7</f>
        <v>3922.1238596594935</v>
      </c>
      <c r="S7">
        <f t="shared" si="10"/>
        <v>10246056.296523014</v>
      </c>
      <c r="T7">
        <f>SQRT(S7/R7)</f>
        <v>51.111392904395153</v>
      </c>
      <c r="U7">
        <f>PI()*V7*SQRT(O7/N7)</f>
        <v>94.311556525926235</v>
      </c>
      <c r="V7">
        <v>1.2</v>
      </c>
      <c r="W7">
        <f>R7*N7/1000</f>
        <v>1274.6902543893355</v>
      </c>
      <c r="X7">
        <v>652</v>
      </c>
      <c r="Y7">
        <f t="shared" si="14"/>
        <v>0.51149681089572063</v>
      </c>
      <c r="Z7" t="str">
        <f t="shared" si="15"/>
        <v>LC-cn6</v>
      </c>
      <c r="AA7">
        <f t="shared" si="16"/>
        <v>490</v>
      </c>
      <c r="AB7">
        <f t="shared" si="23"/>
        <v>517.02058150931066</v>
      </c>
      <c r="AC7">
        <f t="shared" si="17"/>
        <v>588.75671369876318</v>
      </c>
      <c r="AD7">
        <f t="shared" si="18"/>
        <v>374.26531559414582</v>
      </c>
      <c r="AE7">
        <f>AC7*(1-((2*M7*H7-D7*H7)/(2*M7*H7-H7)*D7))+AD7*((2*M7*H7-D7*H7)/(2*M7*H7-H7)*D7)</f>
        <v>528.69912222947028</v>
      </c>
      <c r="AF7">
        <f t="shared" si="20"/>
        <v>1356.6025316295008</v>
      </c>
      <c r="AG7">
        <f t="shared" si="21"/>
        <v>0.48061240105223868</v>
      </c>
    </row>
    <row r="8" spans="1:33" x14ac:dyDescent="0.25">
      <c r="A8">
        <v>7</v>
      </c>
      <c r="B8">
        <v>355</v>
      </c>
      <c r="C8">
        <v>205</v>
      </c>
      <c r="D8">
        <v>0.2</v>
      </c>
      <c r="E8">
        <f t="shared" ref="E8:E11" si="25">U8*T8</f>
        <v>5388.9152232264532</v>
      </c>
      <c r="F8">
        <v>110</v>
      </c>
      <c r="G8">
        <f t="shared" si="2"/>
        <v>150</v>
      </c>
      <c r="H8">
        <v>8</v>
      </c>
      <c r="I8">
        <f t="shared" ref="I8:I11" si="26">F8/H8</f>
        <v>13.75</v>
      </c>
      <c r="J8">
        <f t="shared" ref="J8:J11" si="27">SQRT(12*(1-0.3^2)*I8^2*N8/(4*PI()^2*O8))</f>
        <v>0.28906822465146947</v>
      </c>
      <c r="K8">
        <f t="shared" ref="K8:K11" si="28">H8*I8/200</f>
        <v>0.55000000000000004</v>
      </c>
      <c r="L8">
        <f t="shared" si="24"/>
        <v>5.3889152232264532</v>
      </c>
      <c r="M8">
        <v>2.5</v>
      </c>
      <c r="N8">
        <f>D8*C8+(1-D8)*B8</f>
        <v>325</v>
      </c>
      <c r="O8">
        <f t="shared" ref="O8:O11" si="29">193000*D8+(1-D8)*206000</f>
        <v>203400</v>
      </c>
      <c r="P8">
        <f t="shared" ref="P8:P11" si="30">H8*I8*H8*4</f>
        <v>3520</v>
      </c>
      <c r="Q8">
        <f t="shared" ref="Q8:Q11" si="31">PI()*(M8*H8)^2-PI()*((M8-1)*H8)^2</f>
        <v>804.24771931898704</v>
      </c>
      <c r="R8">
        <f t="shared" ref="R8:R11" si="32">P8+Q8</f>
        <v>4324.247719318987</v>
      </c>
      <c r="S8">
        <f t="shared" si="10"/>
        <v>14118333.707433984</v>
      </c>
      <c r="T8">
        <f t="shared" ref="T8:T11" si="33">SQRT(S8/R8)</f>
        <v>57.139500414724267</v>
      </c>
      <c r="U8">
        <f t="shared" ref="U8:U11" si="34">PI()*V8*SQRT(O8/N8)</f>
        <v>94.311556525926235</v>
      </c>
      <c r="V8">
        <v>1.2</v>
      </c>
      <c r="W8">
        <f t="shared" ref="W8:W11" si="35">R8*N8/1000</f>
        <v>1405.3805087786709</v>
      </c>
      <c r="X8">
        <v>727.5</v>
      </c>
      <c r="Y8">
        <f t="shared" si="14"/>
        <v>0.51765340095133749</v>
      </c>
      <c r="Z8" t="str">
        <f t="shared" si="15"/>
        <v>LC-cn7</v>
      </c>
      <c r="AA8">
        <f t="shared" si="16"/>
        <v>490</v>
      </c>
      <c r="AB8">
        <f t="shared" si="23"/>
        <v>517.02058150931066</v>
      </c>
      <c r="AC8">
        <f t="shared" si="17"/>
        <v>519.7880493042129</v>
      </c>
      <c r="AD8">
        <f t="shared" si="18"/>
        <v>325.88344850615891</v>
      </c>
      <c r="AE8">
        <f>AC8*(1-((2*M8*H8-D8*H8)/(2*M8*H8-H8)*D8))+AD8*((2*M8*H8-D8*H8)/(2*M8*H8-H8)*D8)</f>
        <v>473.25094511267991</v>
      </c>
      <c r="AF8">
        <f t="shared" si="20"/>
        <v>1524.610993272428</v>
      </c>
      <c r="AG8">
        <f t="shared" si="21"/>
        <v>0.47717090012481977</v>
      </c>
    </row>
    <row r="9" spans="1:33" x14ac:dyDescent="0.25">
      <c r="A9">
        <v>8</v>
      </c>
      <c r="B9">
        <v>355</v>
      </c>
      <c r="C9">
        <v>205</v>
      </c>
      <c r="D9">
        <v>0.2</v>
      </c>
      <c r="E9">
        <f t="shared" si="25"/>
        <v>5951.4226112528486</v>
      </c>
      <c r="F9">
        <v>110</v>
      </c>
      <c r="G9">
        <f t="shared" si="2"/>
        <v>166</v>
      </c>
      <c r="H9">
        <v>8</v>
      </c>
      <c r="I9">
        <f t="shared" si="26"/>
        <v>13.75</v>
      </c>
      <c r="J9">
        <f t="shared" si="27"/>
        <v>0.28906822465146947</v>
      </c>
      <c r="K9">
        <f t="shared" si="28"/>
        <v>0.55000000000000004</v>
      </c>
      <c r="L9">
        <f t="shared" si="24"/>
        <v>5.9514226112528483</v>
      </c>
      <c r="M9">
        <v>3.5</v>
      </c>
      <c r="N9">
        <f t="shared" ref="N9:N11" si="36">D9*C9+(1-D9)*B9</f>
        <v>325</v>
      </c>
      <c r="O9">
        <f t="shared" si="29"/>
        <v>203400</v>
      </c>
      <c r="P9">
        <f t="shared" si="30"/>
        <v>3520</v>
      </c>
      <c r="Q9">
        <f t="shared" si="31"/>
        <v>1206.3715789784803</v>
      </c>
      <c r="R9">
        <f t="shared" si="32"/>
        <v>4726.3715789784801</v>
      </c>
      <c r="S9">
        <f t="shared" si="10"/>
        <v>18820866.680454198</v>
      </c>
      <c r="T9">
        <f t="shared" si="33"/>
        <v>63.103853127657828</v>
      </c>
      <c r="U9">
        <f t="shared" si="34"/>
        <v>94.311556525926235</v>
      </c>
      <c r="V9">
        <v>1.2</v>
      </c>
      <c r="W9">
        <f t="shared" si="35"/>
        <v>1536.0707631680059</v>
      </c>
      <c r="X9">
        <v>801.8</v>
      </c>
      <c r="Y9">
        <f t="shared" si="14"/>
        <v>0.52198116078087475</v>
      </c>
      <c r="Z9" t="str">
        <f t="shared" si="15"/>
        <v>LC-cn8</v>
      </c>
      <c r="AA9">
        <f t="shared" si="16"/>
        <v>490</v>
      </c>
      <c r="AB9">
        <f t="shared" si="23"/>
        <v>517.02058150931066</v>
      </c>
      <c r="AC9">
        <f t="shared" si="17"/>
        <v>490.5313485704678</v>
      </c>
      <c r="AD9">
        <f t="shared" si="18"/>
        <v>305.56904784310274</v>
      </c>
      <c r="AE9">
        <f t="shared" si="19"/>
        <v>448.60656040559837</v>
      </c>
      <c r="AF9">
        <f t="shared" si="20"/>
        <v>1685.1862046166068</v>
      </c>
      <c r="AG9">
        <f t="shared" si="21"/>
        <v>0.47579311876838903</v>
      </c>
    </row>
    <row r="10" spans="1:33" x14ac:dyDescent="0.25">
      <c r="A10">
        <v>9</v>
      </c>
      <c r="B10">
        <v>355</v>
      </c>
      <c r="C10">
        <v>205</v>
      </c>
      <c r="D10">
        <v>0.2</v>
      </c>
      <c r="E10">
        <f t="shared" si="25"/>
        <v>6509.3755735223049</v>
      </c>
      <c r="F10">
        <v>110</v>
      </c>
      <c r="G10">
        <f t="shared" si="2"/>
        <v>182</v>
      </c>
      <c r="H10">
        <v>8</v>
      </c>
      <c r="I10">
        <f t="shared" si="26"/>
        <v>13.75</v>
      </c>
      <c r="J10">
        <f t="shared" si="27"/>
        <v>0.28906822465146947</v>
      </c>
      <c r="K10">
        <f t="shared" si="28"/>
        <v>0.55000000000000004</v>
      </c>
      <c r="L10">
        <f t="shared" si="24"/>
        <v>6.5093755735223047</v>
      </c>
      <c r="M10">
        <v>4.5</v>
      </c>
      <c r="N10">
        <f t="shared" si="36"/>
        <v>325</v>
      </c>
      <c r="O10">
        <f t="shared" si="29"/>
        <v>203400</v>
      </c>
      <c r="P10">
        <f t="shared" si="30"/>
        <v>3520</v>
      </c>
      <c r="Q10">
        <f t="shared" si="31"/>
        <v>1608.4954386379741</v>
      </c>
      <c r="R10">
        <f t="shared" si="32"/>
        <v>5128.4954386379741</v>
      </c>
      <c r="S10">
        <f t="shared" si="10"/>
        <v>24430862.996638283</v>
      </c>
      <c r="T10">
        <f t="shared" si="33"/>
        <v>69.01991456087228</v>
      </c>
      <c r="U10">
        <f t="shared" si="34"/>
        <v>94.311556525926235</v>
      </c>
      <c r="V10">
        <v>1.2</v>
      </c>
      <c r="W10">
        <f t="shared" si="35"/>
        <v>1666.7610175573416</v>
      </c>
      <c r="X10">
        <v>873.8</v>
      </c>
      <c r="Y10">
        <f t="shared" si="14"/>
        <v>0.52425032190911469</v>
      </c>
      <c r="Z10" t="str">
        <f t="shared" si="15"/>
        <v>LC-cn9</v>
      </c>
      <c r="AA10">
        <f t="shared" si="16"/>
        <v>490</v>
      </c>
      <c r="AB10">
        <f t="shared" si="23"/>
        <v>517.02058150931066</v>
      </c>
      <c r="AC10">
        <f t="shared" si="17"/>
        <v>472.16589361674886</v>
      </c>
      <c r="AD10">
        <f t="shared" si="18"/>
        <v>292.88506637012813</v>
      </c>
      <c r="AE10">
        <f t="shared" si="19"/>
        <v>432.72411162249233</v>
      </c>
      <c r="AF10">
        <f t="shared" si="20"/>
        <v>1840.0347597334485</v>
      </c>
      <c r="AG10">
        <f t="shared" si="21"/>
        <v>0.47488233326993268</v>
      </c>
    </row>
    <row r="11" spans="1:33" x14ac:dyDescent="0.25">
      <c r="A11">
        <v>10</v>
      </c>
      <c r="B11">
        <v>355</v>
      </c>
      <c r="C11">
        <v>205</v>
      </c>
      <c r="D11">
        <v>0.2</v>
      </c>
      <c r="E11">
        <f t="shared" si="25"/>
        <v>7063.7876942846324</v>
      </c>
      <c r="F11">
        <v>110</v>
      </c>
      <c r="G11">
        <f t="shared" si="2"/>
        <v>198</v>
      </c>
      <c r="H11">
        <v>8</v>
      </c>
      <c r="I11">
        <f t="shared" si="26"/>
        <v>13.75</v>
      </c>
      <c r="J11">
        <f t="shared" si="27"/>
        <v>0.28906822465146947</v>
      </c>
      <c r="K11">
        <f t="shared" si="28"/>
        <v>0.55000000000000004</v>
      </c>
      <c r="L11">
        <f t="shared" si="24"/>
        <v>7.063787694284632</v>
      </c>
      <c r="M11">
        <v>5.5</v>
      </c>
      <c r="N11">
        <f t="shared" si="36"/>
        <v>325</v>
      </c>
      <c r="O11">
        <f t="shared" si="29"/>
        <v>203400</v>
      </c>
      <c r="P11">
        <f t="shared" si="30"/>
        <v>3520</v>
      </c>
      <c r="Q11">
        <f t="shared" si="31"/>
        <v>2010.619298297468</v>
      </c>
      <c r="R11">
        <f t="shared" si="32"/>
        <v>5530.619298297468</v>
      </c>
      <c r="S11">
        <f t="shared" si="10"/>
        <v>31025530.437040862</v>
      </c>
      <c r="T11">
        <f t="shared" si="33"/>
        <v>74.89843190471359</v>
      </c>
      <c r="U11">
        <f t="shared" si="34"/>
        <v>94.311556525926235</v>
      </c>
      <c r="V11">
        <v>1.2</v>
      </c>
      <c r="W11">
        <f t="shared" si="35"/>
        <v>1797.451271946677</v>
      </c>
      <c r="X11">
        <v>945.1</v>
      </c>
      <c r="Y11">
        <f t="shared" si="14"/>
        <v>0.52580006743461649</v>
      </c>
      <c r="Z11" t="str">
        <f t="shared" si="15"/>
        <v>LC-cn10</v>
      </c>
      <c r="AA11">
        <f t="shared" si="16"/>
        <v>490</v>
      </c>
      <c r="AB11">
        <f t="shared" si="23"/>
        <v>517.02058150931066</v>
      </c>
      <c r="AC11">
        <f t="shared" si="17"/>
        <v>458.89857374554873</v>
      </c>
      <c r="AD11">
        <f t="shared" si="18"/>
        <v>283.75598161340156</v>
      </c>
      <c r="AE11">
        <f t="shared" si="19"/>
        <v>421.06777384500498</v>
      </c>
      <c r="AF11">
        <f t="shared" si="20"/>
        <v>1990.6069919839208</v>
      </c>
      <c r="AG11">
        <f t="shared" si="21"/>
        <v>0.47477980525833202</v>
      </c>
    </row>
    <row r="12" spans="1:33" x14ac:dyDescent="0.25">
      <c r="A12">
        <v>11</v>
      </c>
      <c r="B12">
        <v>355</v>
      </c>
      <c r="C12">
        <v>205</v>
      </c>
      <c r="D12">
        <v>0.2</v>
      </c>
      <c r="E12">
        <f>U12*T12</f>
        <v>7230.592531532533</v>
      </c>
      <c r="F12">
        <v>110</v>
      </c>
      <c r="G12">
        <f t="shared" si="2"/>
        <v>134</v>
      </c>
      <c r="H12">
        <v>8</v>
      </c>
      <c r="I12">
        <f>F12/H12</f>
        <v>13.75</v>
      </c>
      <c r="J12">
        <f>SQRT(12*(1-0.3^2)*I12^2*N12/(4*PI()^2*O12))</f>
        <v>0.28906822465146947</v>
      </c>
      <c r="K12">
        <f>H12*I12/200</f>
        <v>0.55000000000000004</v>
      </c>
      <c r="L12">
        <f t="shared" si="24"/>
        <v>7.2305925315325332</v>
      </c>
      <c r="M12">
        <v>1.5</v>
      </c>
      <c r="N12">
        <f>D12*C12+(1-D12)*B12</f>
        <v>325</v>
      </c>
      <c r="O12">
        <f>193000*D12+(1-D12)*206000</f>
        <v>203400</v>
      </c>
      <c r="P12">
        <f>H12*I12*H12*4</f>
        <v>3520</v>
      </c>
      <c r="Q12">
        <f>PI()*(M12*H12)^2-PI()*((M12-1)*H12)^2</f>
        <v>402.12385965949352</v>
      </c>
      <c r="R12">
        <f>P12+Q12</f>
        <v>3922.1238596594935</v>
      </c>
      <c r="S12">
        <f t="shared" si="10"/>
        <v>10246056.296523014</v>
      </c>
      <c r="T12">
        <f>SQRT(S12/R12)</f>
        <v>51.111392904395153</v>
      </c>
      <c r="U12">
        <f>PI()*V12*SQRT(O12/N12)</f>
        <v>141.46733478888936</v>
      </c>
      <c r="V12">
        <v>1.8</v>
      </c>
      <c r="W12">
        <f>R12*N12/1000</f>
        <v>1274.6902543893355</v>
      </c>
      <c r="X12">
        <v>347.4</v>
      </c>
      <c r="Y12">
        <f t="shared" si="14"/>
        <v>0.27253679770732109</v>
      </c>
      <c r="Z12" t="str">
        <f t="shared" si="15"/>
        <v>LC-cn11</v>
      </c>
      <c r="AA12">
        <f t="shared" si="16"/>
        <v>490</v>
      </c>
      <c r="AB12">
        <f t="shared" si="23"/>
        <v>517.02058150931066</v>
      </c>
      <c r="AC12">
        <f t="shared" si="17"/>
        <v>588.75671369876318</v>
      </c>
      <c r="AD12">
        <f t="shared" si="18"/>
        <v>374.26531559414582</v>
      </c>
      <c r="AE12">
        <f t="shared" si="19"/>
        <v>528.69912222947028</v>
      </c>
      <c r="AF12">
        <f t="shared" si="20"/>
        <v>1356.6025316295008</v>
      </c>
      <c r="AG12">
        <f t="shared" si="21"/>
        <v>0.25608090203304862</v>
      </c>
    </row>
    <row r="13" spans="1:33" x14ac:dyDescent="0.25">
      <c r="A13">
        <v>12</v>
      </c>
      <c r="B13">
        <v>355</v>
      </c>
      <c r="C13">
        <v>205</v>
      </c>
      <c r="D13">
        <v>0.2</v>
      </c>
      <c r="E13">
        <f t="shared" ref="E13:E16" si="37">U13*T13</f>
        <v>8083.3728348396808</v>
      </c>
      <c r="F13">
        <v>110</v>
      </c>
      <c r="G13">
        <f t="shared" si="2"/>
        <v>150</v>
      </c>
      <c r="H13">
        <v>8</v>
      </c>
      <c r="I13">
        <f t="shared" ref="I13:I16" si="38">F13/H13</f>
        <v>13.75</v>
      </c>
      <c r="J13">
        <f t="shared" ref="J13:J16" si="39">SQRT(12*(1-0.3^2)*I13^2*N13/(4*PI()^2*O13))</f>
        <v>0.28906822465146947</v>
      </c>
      <c r="K13">
        <f t="shared" ref="K13:K16" si="40">H13*I13/200</f>
        <v>0.55000000000000004</v>
      </c>
      <c r="L13">
        <f t="shared" si="24"/>
        <v>8.0833728348396807</v>
      </c>
      <c r="M13">
        <v>2.5</v>
      </c>
      <c r="N13">
        <f>D13*C13+(1-D13)*B13</f>
        <v>325</v>
      </c>
      <c r="O13">
        <f t="shared" ref="O13:O16" si="41">193000*D13+(1-D13)*206000</f>
        <v>203400</v>
      </c>
      <c r="P13">
        <f t="shared" ref="P13:P16" si="42">H13*I13*H13*4</f>
        <v>3520</v>
      </c>
      <c r="Q13">
        <f t="shared" ref="Q13:Q16" si="43">PI()*(M13*H13)^2-PI()*((M13-1)*H13)^2</f>
        <v>804.24771931898704</v>
      </c>
      <c r="R13">
        <f t="shared" ref="R13:R16" si="44">P13+Q13</f>
        <v>4324.247719318987</v>
      </c>
      <c r="S13">
        <f t="shared" si="10"/>
        <v>14118333.707433984</v>
      </c>
      <c r="T13">
        <f t="shared" ref="T13:T16" si="45">SQRT(S13/R13)</f>
        <v>57.139500414724267</v>
      </c>
      <c r="U13">
        <f t="shared" ref="U13:U16" si="46">PI()*V13*SQRT(O13/N13)</f>
        <v>141.46733478888936</v>
      </c>
      <c r="V13">
        <v>1.8</v>
      </c>
      <c r="W13">
        <f t="shared" ref="W13:W16" si="47">R13*N13/1000</f>
        <v>1405.3805087786709</v>
      </c>
      <c r="X13">
        <v>383</v>
      </c>
      <c r="Y13">
        <f t="shared" si="14"/>
        <v>0.27252405850771444</v>
      </c>
      <c r="Z13" t="str">
        <f t="shared" si="15"/>
        <v>LC-cn12</v>
      </c>
      <c r="AA13">
        <f t="shared" si="16"/>
        <v>490</v>
      </c>
      <c r="AB13">
        <f>C13/(0.2+185*C13/193000)</f>
        <v>517.02058150931066</v>
      </c>
      <c r="AC13">
        <f t="shared" si="17"/>
        <v>519.7880493042129</v>
      </c>
      <c r="AD13">
        <f t="shared" si="18"/>
        <v>325.88344850615891</v>
      </c>
      <c r="AE13">
        <f t="shared" si="19"/>
        <v>473.25094511267991</v>
      </c>
      <c r="AF13">
        <f>(AE13*Q13+N13*P13)/1000</f>
        <v>1524.610993272428</v>
      </c>
      <c r="AG13">
        <f t="shared" si="21"/>
        <v>0.25121162164646871</v>
      </c>
    </row>
    <row r="14" spans="1:33" x14ac:dyDescent="0.25">
      <c r="A14">
        <v>13</v>
      </c>
      <c r="B14">
        <v>355</v>
      </c>
      <c r="C14">
        <v>205</v>
      </c>
      <c r="D14">
        <v>0.2</v>
      </c>
      <c r="E14">
        <f t="shared" si="37"/>
        <v>8927.1339168792729</v>
      </c>
      <c r="F14">
        <v>110</v>
      </c>
      <c r="G14">
        <f t="shared" si="2"/>
        <v>166</v>
      </c>
      <c r="H14">
        <v>8</v>
      </c>
      <c r="I14">
        <f t="shared" si="38"/>
        <v>13.75</v>
      </c>
      <c r="J14">
        <f t="shared" si="39"/>
        <v>0.28906822465146947</v>
      </c>
      <c r="K14">
        <f t="shared" si="40"/>
        <v>0.55000000000000004</v>
      </c>
      <c r="L14">
        <f t="shared" si="24"/>
        <v>8.9271339168792725</v>
      </c>
      <c r="M14">
        <v>3.5</v>
      </c>
      <c r="N14">
        <f t="shared" ref="N14:N16" si="48">D14*C14+(1-D14)*B14</f>
        <v>325</v>
      </c>
      <c r="O14">
        <f t="shared" si="41"/>
        <v>203400</v>
      </c>
      <c r="P14">
        <f t="shared" si="42"/>
        <v>3520</v>
      </c>
      <c r="Q14">
        <f t="shared" si="43"/>
        <v>1206.3715789784803</v>
      </c>
      <c r="R14">
        <f t="shared" si="44"/>
        <v>4726.3715789784801</v>
      </c>
      <c r="S14">
        <f t="shared" si="10"/>
        <v>18820866.680454198</v>
      </c>
      <c r="T14">
        <f t="shared" si="45"/>
        <v>63.103853127657828</v>
      </c>
      <c r="U14">
        <f t="shared" si="46"/>
        <v>141.46733478888936</v>
      </c>
      <c r="V14">
        <v>1.8</v>
      </c>
      <c r="W14">
        <f t="shared" si="47"/>
        <v>1536.0707631680059</v>
      </c>
      <c r="X14">
        <v>418.1</v>
      </c>
      <c r="Y14">
        <f t="shared" si="14"/>
        <v>0.27218798119541504</v>
      </c>
      <c r="Z14" t="str">
        <f t="shared" si="15"/>
        <v>LC-cn13</v>
      </c>
      <c r="AA14">
        <f t="shared" si="16"/>
        <v>490</v>
      </c>
      <c r="AB14">
        <f>C14/(0.2+185*C14/193000)</f>
        <v>517.02058150931066</v>
      </c>
      <c r="AC14">
        <f t="shared" si="17"/>
        <v>490.5313485704678</v>
      </c>
      <c r="AD14">
        <f t="shared" si="18"/>
        <v>305.56904784310274</v>
      </c>
      <c r="AE14">
        <f t="shared" si="19"/>
        <v>448.60656040559837</v>
      </c>
      <c r="AF14">
        <f t="shared" ref="AF14:AF21" si="49">(AE14*Q14+N14*P14)/1000</f>
        <v>1685.1862046166068</v>
      </c>
      <c r="AG14">
        <f t="shared" si="21"/>
        <v>0.24810314661644237</v>
      </c>
    </row>
    <row r="15" spans="1:33" x14ac:dyDescent="0.25">
      <c r="A15">
        <v>14</v>
      </c>
      <c r="B15">
        <v>355</v>
      </c>
      <c r="C15">
        <v>205</v>
      </c>
      <c r="D15">
        <v>0.2</v>
      </c>
      <c r="E15">
        <f t="shared" si="37"/>
        <v>9764.0633602834587</v>
      </c>
      <c r="F15">
        <v>110</v>
      </c>
      <c r="G15">
        <f t="shared" si="2"/>
        <v>182</v>
      </c>
      <c r="H15">
        <v>8</v>
      </c>
      <c r="I15">
        <f t="shared" si="38"/>
        <v>13.75</v>
      </c>
      <c r="J15">
        <f t="shared" si="39"/>
        <v>0.28906822465146947</v>
      </c>
      <c r="K15">
        <f t="shared" si="40"/>
        <v>0.55000000000000004</v>
      </c>
      <c r="L15">
        <f t="shared" si="24"/>
        <v>9.7640633602834583</v>
      </c>
      <c r="M15">
        <v>4.5</v>
      </c>
      <c r="N15">
        <f t="shared" si="48"/>
        <v>325</v>
      </c>
      <c r="O15">
        <f t="shared" si="41"/>
        <v>203400</v>
      </c>
      <c r="P15">
        <f t="shared" si="42"/>
        <v>3520</v>
      </c>
      <c r="Q15">
        <f t="shared" si="43"/>
        <v>1608.4954386379741</v>
      </c>
      <c r="R15">
        <f t="shared" si="44"/>
        <v>5128.4954386379741</v>
      </c>
      <c r="S15">
        <f t="shared" si="10"/>
        <v>24430862.996638283</v>
      </c>
      <c r="T15">
        <f t="shared" si="45"/>
        <v>69.01991456087228</v>
      </c>
      <c r="U15">
        <f t="shared" si="46"/>
        <v>141.46733478888936</v>
      </c>
      <c r="V15">
        <v>1.8</v>
      </c>
      <c r="W15">
        <f t="shared" si="47"/>
        <v>1666.7610175573416</v>
      </c>
      <c r="X15">
        <v>453.3</v>
      </c>
      <c r="Y15">
        <f t="shared" si="14"/>
        <v>0.2719646039384318</v>
      </c>
      <c r="Z15" t="str">
        <f t="shared" si="15"/>
        <v>LC-cn14</v>
      </c>
      <c r="AA15">
        <f t="shared" si="16"/>
        <v>490</v>
      </c>
      <c r="AB15">
        <f>C15/(0.2+185*C15/193000)</f>
        <v>517.02058150931066</v>
      </c>
      <c r="AC15">
        <f t="shared" si="17"/>
        <v>472.16589361674886</v>
      </c>
      <c r="AD15">
        <f t="shared" si="18"/>
        <v>292.88506637012813</v>
      </c>
      <c r="AE15">
        <f t="shared" si="19"/>
        <v>432.72411162249233</v>
      </c>
      <c r="AF15">
        <f t="shared" si="49"/>
        <v>1840.0347597334485</v>
      </c>
      <c r="AG15">
        <f t="shared" si="21"/>
        <v>0.24635404173868219</v>
      </c>
    </row>
    <row r="16" spans="1:33" x14ac:dyDescent="0.25">
      <c r="A16">
        <v>15</v>
      </c>
      <c r="B16">
        <v>355</v>
      </c>
      <c r="C16">
        <v>205</v>
      </c>
      <c r="D16">
        <v>0.2</v>
      </c>
      <c r="E16">
        <f t="shared" si="37"/>
        <v>10595.681541426949</v>
      </c>
      <c r="F16">
        <v>110</v>
      </c>
      <c r="G16">
        <f t="shared" si="2"/>
        <v>198</v>
      </c>
      <c r="H16">
        <v>8</v>
      </c>
      <c r="I16">
        <f t="shared" si="38"/>
        <v>13.75</v>
      </c>
      <c r="J16">
        <f t="shared" si="39"/>
        <v>0.28906822465146947</v>
      </c>
      <c r="K16">
        <f t="shared" si="40"/>
        <v>0.55000000000000004</v>
      </c>
      <c r="L16">
        <f t="shared" si="24"/>
        <v>10.59568154142695</v>
      </c>
      <c r="M16">
        <v>5.5</v>
      </c>
      <c r="N16">
        <f t="shared" si="48"/>
        <v>325</v>
      </c>
      <c r="O16">
        <f t="shared" si="41"/>
        <v>203400</v>
      </c>
      <c r="P16">
        <f t="shared" si="42"/>
        <v>3520</v>
      </c>
      <c r="Q16">
        <f t="shared" si="43"/>
        <v>2010.619298297468</v>
      </c>
      <c r="R16">
        <f t="shared" si="44"/>
        <v>5530.619298297468</v>
      </c>
      <c r="S16">
        <f t="shared" si="10"/>
        <v>31025530.437040862</v>
      </c>
      <c r="T16">
        <f t="shared" si="45"/>
        <v>74.89843190471359</v>
      </c>
      <c r="U16">
        <f t="shared" si="46"/>
        <v>141.46733478888936</v>
      </c>
      <c r="V16">
        <v>1.8</v>
      </c>
      <c r="W16">
        <f t="shared" si="47"/>
        <v>1797.451271946677</v>
      </c>
      <c r="X16">
        <v>488.3</v>
      </c>
      <c r="Y16">
        <f t="shared" si="14"/>
        <v>0.27166244093569281</v>
      </c>
      <c r="Z16" t="str">
        <f t="shared" si="15"/>
        <v>LC-cn15</v>
      </c>
      <c r="AA16">
        <f t="shared" si="16"/>
        <v>490</v>
      </c>
      <c r="AB16">
        <f t="shared" ref="AB16:AB21" si="50">C16/(0.2+185*C16/193000)</f>
        <v>517.02058150931066</v>
      </c>
      <c r="AC16">
        <f t="shared" si="17"/>
        <v>458.89857374554873</v>
      </c>
      <c r="AD16">
        <f t="shared" si="18"/>
        <v>283.75598161340156</v>
      </c>
      <c r="AE16">
        <f t="shared" si="19"/>
        <v>421.06777384500498</v>
      </c>
      <c r="AF16">
        <f t="shared" si="49"/>
        <v>1990.6069919839208</v>
      </c>
      <c r="AG16">
        <f t="shared" si="21"/>
        <v>0.24530206211791719</v>
      </c>
    </row>
    <row r="17" spans="1:33" x14ac:dyDescent="0.25">
      <c r="A17">
        <v>16</v>
      </c>
      <c r="B17">
        <v>355</v>
      </c>
      <c r="C17">
        <v>205</v>
      </c>
      <c r="D17">
        <v>0.2</v>
      </c>
      <c r="E17">
        <f>U17*T17</f>
        <v>9640.790042043378</v>
      </c>
      <c r="F17">
        <v>110</v>
      </c>
      <c r="G17">
        <f t="shared" si="2"/>
        <v>134</v>
      </c>
      <c r="H17">
        <v>8</v>
      </c>
      <c r="I17">
        <f>F17/H17</f>
        <v>13.75</v>
      </c>
      <c r="J17">
        <f>SQRT(12*(1-0.3^2)*I17^2*N17/(4*PI()^2*O17))</f>
        <v>0.28906822465146947</v>
      </c>
      <c r="K17">
        <f>H17*I17/200</f>
        <v>0.55000000000000004</v>
      </c>
      <c r="L17">
        <f t="shared" ref="L17:L21" si="51">E17/1000</f>
        <v>9.6407900420433776</v>
      </c>
      <c r="M17">
        <v>1.5</v>
      </c>
      <c r="N17">
        <f>D17*C17+(1-D17)*B17</f>
        <v>325</v>
      </c>
      <c r="O17">
        <f>193000*D17+(1-D17)*206000</f>
        <v>203400</v>
      </c>
      <c r="P17">
        <f>H17*I17*H17*4</f>
        <v>3520</v>
      </c>
      <c r="Q17">
        <f>PI()*(M17*H17)^2-PI()*((M17-1)*H17)^2</f>
        <v>402.12385965949352</v>
      </c>
      <c r="R17">
        <f>P17+Q17</f>
        <v>3922.1238596594935</v>
      </c>
      <c r="S17">
        <f t="shared" si="10"/>
        <v>10246056.296523014</v>
      </c>
      <c r="T17">
        <f>SQRT(S17/R17)</f>
        <v>51.111392904395153</v>
      </c>
      <c r="U17">
        <f>PI()*V17*SQRT(O17/N17)</f>
        <v>188.62311305185247</v>
      </c>
      <c r="V17">
        <v>2.4</v>
      </c>
      <c r="W17">
        <f>R17*N17/1000</f>
        <v>1274.6902543893355</v>
      </c>
      <c r="X17">
        <v>204.2</v>
      </c>
      <c r="Y17">
        <f t="shared" si="14"/>
        <v>0.16019578034494808</v>
      </c>
      <c r="Z17" t="str">
        <f t="shared" si="15"/>
        <v>LC-cn16</v>
      </c>
      <c r="AA17">
        <f t="shared" si="16"/>
        <v>490</v>
      </c>
      <c r="AB17">
        <f t="shared" si="50"/>
        <v>517.02058150931066</v>
      </c>
      <c r="AC17">
        <f t="shared" si="17"/>
        <v>588.75671369876318</v>
      </c>
      <c r="AD17">
        <f t="shared" si="18"/>
        <v>374.26531559414582</v>
      </c>
      <c r="AE17">
        <f t="shared" si="19"/>
        <v>528.69912222947028</v>
      </c>
      <c r="AF17">
        <f t="shared" si="49"/>
        <v>1356.6025316295008</v>
      </c>
      <c r="AG17">
        <f t="shared" si="21"/>
        <v>0.15052308634182077</v>
      </c>
    </row>
    <row r="18" spans="1:33" x14ac:dyDescent="0.25">
      <c r="A18">
        <v>17</v>
      </c>
      <c r="B18">
        <v>355</v>
      </c>
      <c r="C18">
        <v>205</v>
      </c>
      <c r="D18">
        <v>0.2</v>
      </c>
      <c r="E18">
        <f t="shared" ref="E18:E21" si="52">U18*T18</f>
        <v>10777.830446452906</v>
      </c>
      <c r="F18">
        <v>110</v>
      </c>
      <c r="G18">
        <f t="shared" si="2"/>
        <v>150</v>
      </c>
      <c r="H18">
        <v>8</v>
      </c>
      <c r="I18">
        <f t="shared" ref="I18:I21" si="53">F18/H18</f>
        <v>13.75</v>
      </c>
      <c r="J18">
        <f t="shared" ref="J18:J21" si="54">SQRT(12*(1-0.3^2)*I18^2*N18/(4*PI()^2*O18))</f>
        <v>0.28906822465146947</v>
      </c>
      <c r="K18">
        <f t="shared" ref="K18:K21" si="55">H18*I18/200</f>
        <v>0.55000000000000004</v>
      </c>
      <c r="L18">
        <f t="shared" si="51"/>
        <v>10.777830446452906</v>
      </c>
      <c r="M18">
        <v>2.5</v>
      </c>
      <c r="N18">
        <f>D18*C18+(1-D18)*B18</f>
        <v>325</v>
      </c>
      <c r="O18">
        <f t="shared" ref="O18:O21" si="56">193000*D18+(1-D18)*206000</f>
        <v>203400</v>
      </c>
      <c r="P18">
        <f t="shared" ref="P18:P21" si="57">H18*I18*H18*4</f>
        <v>3520</v>
      </c>
      <c r="Q18">
        <f t="shared" ref="Q18:Q21" si="58">PI()*(M18*H18)^2-PI()*((M18-1)*H18)^2</f>
        <v>804.24771931898704</v>
      </c>
      <c r="R18">
        <f t="shared" ref="R18:R21" si="59">P18+Q18</f>
        <v>4324.247719318987</v>
      </c>
      <c r="S18">
        <f t="shared" si="10"/>
        <v>14118333.707433984</v>
      </c>
      <c r="T18">
        <f t="shared" ref="T18:T21" si="60">SQRT(S18/R18)</f>
        <v>57.139500414724267</v>
      </c>
      <c r="U18">
        <f t="shared" ref="U18:U21" si="61">PI()*V18*SQRT(O18/N18)</f>
        <v>188.62311305185247</v>
      </c>
      <c r="V18">
        <v>2.4</v>
      </c>
      <c r="W18">
        <f t="shared" ref="W18:W21" si="62">R18*N18/1000</f>
        <v>1405.3805087786709</v>
      </c>
      <c r="X18">
        <v>224.6</v>
      </c>
      <c r="Y18">
        <f t="shared" si="14"/>
        <v>0.15981436955830983</v>
      </c>
      <c r="Z18" t="str">
        <f t="shared" si="15"/>
        <v>LC-cn17</v>
      </c>
      <c r="AA18">
        <f t="shared" si="16"/>
        <v>490</v>
      </c>
      <c r="AB18">
        <f t="shared" si="50"/>
        <v>517.02058150931066</v>
      </c>
      <c r="AC18">
        <f t="shared" si="17"/>
        <v>519.7880493042129</v>
      </c>
      <c r="AD18">
        <f t="shared" si="18"/>
        <v>325.88344850615891</v>
      </c>
      <c r="AE18">
        <f t="shared" si="19"/>
        <v>473.25094511267991</v>
      </c>
      <c r="AF18">
        <f t="shared" si="49"/>
        <v>1524.610993272428</v>
      </c>
      <c r="AG18">
        <f t="shared" si="21"/>
        <v>0.14731626689764193</v>
      </c>
    </row>
    <row r="19" spans="1:33" x14ac:dyDescent="0.25">
      <c r="A19">
        <v>18</v>
      </c>
      <c r="B19">
        <v>355</v>
      </c>
      <c r="C19">
        <v>205</v>
      </c>
      <c r="D19">
        <v>0.2</v>
      </c>
      <c r="E19">
        <f t="shared" si="52"/>
        <v>11902.845222505697</v>
      </c>
      <c r="F19">
        <v>110</v>
      </c>
      <c r="G19">
        <f t="shared" si="2"/>
        <v>166</v>
      </c>
      <c r="H19">
        <v>8</v>
      </c>
      <c r="I19">
        <f t="shared" si="53"/>
        <v>13.75</v>
      </c>
      <c r="J19">
        <f t="shared" si="54"/>
        <v>0.28906822465146947</v>
      </c>
      <c r="K19">
        <f t="shared" si="55"/>
        <v>0.55000000000000004</v>
      </c>
      <c r="L19">
        <f t="shared" si="51"/>
        <v>11.902845222505697</v>
      </c>
      <c r="M19">
        <v>3.5</v>
      </c>
      <c r="N19">
        <f t="shared" ref="N19:N21" si="63">D19*C19+(1-D19)*B19</f>
        <v>325</v>
      </c>
      <c r="O19">
        <f t="shared" si="56"/>
        <v>203400</v>
      </c>
      <c r="P19">
        <f t="shared" si="57"/>
        <v>3520</v>
      </c>
      <c r="Q19">
        <f t="shared" si="58"/>
        <v>1206.3715789784803</v>
      </c>
      <c r="R19">
        <f t="shared" si="59"/>
        <v>4726.3715789784801</v>
      </c>
      <c r="S19">
        <f t="shared" si="10"/>
        <v>18820866.680454198</v>
      </c>
      <c r="T19">
        <f t="shared" si="60"/>
        <v>63.103853127657828</v>
      </c>
      <c r="U19">
        <f t="shared" si="61"/>
        <v>188.62311305185247</v>
      </c>
      <c r="V19">
        <v>2.4</v>
      </c>
      <c r="W19">
        <f t="shared" si="62"/>
        <v>1536.0707631680059</v>
      </c>
      <c r="X19">
        <v>245</v>
      </c>
      <c r="Y19">
        <f t="shared" si="14"/>
        <v>0.15949786030346014</v>
      </c>
      <c r="Z19" t="str">
        <f t="shared" si="15"/>
        <v>LC-cn18</v>
      </c>
      <c r="AA19">
        <f t="shared" si="16"/>
        <v>490</v>
      </c>
      <c r="AB19">
        <f t="shared" si="50"/>
        <v>517.02058150931066</v>
      </c>
      <c r="AC19">
        <f t="shared" si="17"/>
        <v>490.5313485704678</v>
      </c>
      <c r="AD19">
        <f t="shared" si="18"/>
        <v>305.56904784310274</v>
      </c>
      <c r="AE19">
        <f t="shared" si="19"/>
        <v>448.60656040559837</v>
      </c>
      <c r="AF19">
        <f t="shared" si="49"/>
        <v>1685.1862046166068</v>
      </c>
      <c r="AG19">
        <f t="shared" si="21"/>
        <v>0.14538452743608796</v>
      </c>
    </row>
    <row r="20" spans="1:33" x14ac:dyDescent="0.25">
      <c r="A20">
        <v>19</v>
      </c>
      <c r="B20">
        <v>355</v>
      </c>
      <c r="C20">
        <v>205</v>
      </c>
      <c r="D20">
        <v>0.2</v>
      </c>
      <c r="E20">
        <f t="shared" si="52"/>
        <v>13018.75114704461</v>
      </c>
      <c r="F20">
        <v>110</v>
      </c>
      <c r="G20">
        <f t="shared" si="2"/>
        <v>182</v>
      </c>
      <c r="H20">
        <v>8</v>
      </c>
      <c r="I20">
        <f t="shared" si="53"/>
        <v>13.75</v>
      </c>
      <c r="J20">
        <f t="shared" si="54"/>
        <v>0.28906822465146947</v>
      </c>
      <c r="K20">
        <f t="shared" si="55"/>
        <v>0.55000000000000004</v>
      </c>
      <c r="L20">
        <f t="shared" si="51"/>
        <v>13.018751147044609</v>
      </c>
      <c r="M20">
        <v>4.5</v>
      </c>
      <c r="N20">
        <f t="shared" si="63"/>
        <v>325</v>
      </c>
      <c r="O20">
        <f t="shared" si="56"/>
        <v>203400</v>
      </c>
      <c r="P20">
        <f t="shared" si="57"/>
        <v>3520</v>
      </c>
      <c r="Q20">
        <f t="shared" si="58"/>
        <v>1608.4954386379741</v>
      </c>
      <c r="R20">
        <f t="shared" si="59"/>
        <v>5128.4954386379741</v>
      </c>
      <c r="S20">
        <f t="shared" si="10"/>
        <v>24430862.996638283</v>
      </c>
      <c r="T20">
        <f t="shared" si="60"/>
        <v>69.01991456087228</v>
      </c>
      <c r="U20">
        <f t="shared" si="61"/>
        <v>188.62311305185247</v>
      </c>
      <c r="V20">
        <v>2.4</v>
      </c>
      <c r="W20">
        <f t="shared" si="62"/>
        <v>1666.7610175573416</v>
      </c>
      <c r="X20">
        <v>265.39999999999998</v>
      </c>
      <c r="Y20">
        <f t="shared" si="14"/>
        <v>0.15923098584879725</v>
      </c>
      <c r="Z20" t="str">
        <f t="shared" si="15"/>
        <v>LC-cn19</v>
      </c>
      <c r="AA20">
        <f t="shared" si="16"/>
        <v>490</v>
      </c>
      <c r="AB20">
        <f t="shared" si="50"/>
        <v>517.02058150931066</v>
      </c>
      <c r="AC20">
        <f t="shared" si="17"/>
        <v>472.16589361674886</v>
      </c>
      <c r="AD20">
        <f t="shared" si="18"/>
        <v>292.88506637012813</v>
      </c>
      <c r="AE20">
        <f t="shared" si="19"/>
        <v>432.72411162249233</v>
      </c>
      <c r="AF20">
        <f t="shared" si="49"/>
        <v>1840.0347597334485</v>
      </c>
      <c r="AG20">
        <f t="shared" si="21"/>
        <v>0.14423640564184037</v>
      </c>
    </row>
    <row r="21" spans="1:33" x14ac:dyDescent="0.25">
      <c r="A21">
        <v>20</v>
      </c>
      <c r="B21">
        <v>355</v>
      </c>
      <c r="C21">
        <v>205</v>
      </c>
      <c r="D21">
        <v>0.2</v>
      </c>
      <c r="E21">
        <f t="shared" si="52"/>
        <v>14127.575388569265</v>
      </c>
      <c r="F21">
        <v>110</v>
      </c>
      <c r="G21">
        <f t="shared" si="2"/>
        <v>198</v>
      </c>
      <c r="H21">
        <v>8</v>
      </c>
      <c r="I21">
        <f t="shared" si="53"/>
        <v>13.75</v>
      </c>
      <c r="J21">
        <f t="shared" si="54"/>
        <v>0.28906822465146947</v>
      </c>
      <c r="K21">
        <f t="shared" si="55"/>
        <v>0.55000000000000004</v>
      </c>
      <c r="L21">
        <f t="shared" si="51"/>
        <v>14.127575388569264</v>
      </c>
      <c r="M21">
        <v>5.5</v>
      </c>
      <c r="N21">
        <f t="shared" si="63"/>
        <v>325</v>
      </c>
      <c r="O21">
        <f t="shared" si="56"/>
        <v>203400</v>
      </c>
      <c r="P21">
        <f t="shared" si="57"/>
        <v>3520</v>
      </c>
      <c r="Q21">
        <f t="shared" si="58"/>
        <v>2010.619298297468</v>
      </c>
      <c r="R21">
        <f t="shared" si="59"/>
        <v>5530.619298297468</v>
      </c>
      <c r="S21">
        <f t="shared" si="10"/>
        <v>31025530.437040862</v>
      </c>
      <c r="T21">
        <f t="shared" si="60"/>
        <v>74.89843190471359</v>
      </c>
      <c r="U21">
        <f t="shared" si="61"/>
        <v>188.62311305185247</v>
      </c>
      <c r="V21">
        <v>2.4</v>
      </c>
      <c r="W21">
        <f t="shared" si="62"/>
        <v>1797.451271946677</v>
      </c>
      <c r="X21">
        <v>285.60000000000002</v>
      </c>
      <c r="Y21">
        <f t="shared" si="14"/>
        <v>0.15889165089337265</v>
      </c>
      <c r="Z21" t="str">
        <f t="shared" si="15"/>
        <v>LC-cn20</v>
      </c>
      <c r="AA21">
        <f t="shared" si="16"/>
        <v>490</v>
      </c>
      <c r="AB21">
        <f t="shared" si="50"/>
        <v>517.02058150931066</v>
      </c>
      <c r="AC21">
        <f t="shared" si="17"/>
        <v>458.89857374554873</v>
      </c>
      <c r="AD21">
        <f t="shared" si="18"/>
        <v>283.75598161340156</v>
      </c>
      <c r="AE21">
        <f t="shared" si="19"/>
        <v>421.06777384500498</v>
      </c>
      <c r="AF21">
        <f t="shared" si="49"/>
        <v>1990.6069919839208</v>
      </c>
      <c r="AG21">
        <f t="shared" si="21"/>
        <v>0.14347382539602119</v>
      </c>
    </row>
    <row r="88" spans="28:33" x14ac:dyDescent="0.25">
      <c r="AB88" s="7"/>
      <c r="AF88" s="7"/>
      <c r="AG88" s="7"/>
    </row>
    <row r="89" spans="28:33" x14ac:dyDescent="0.25">
      <c r="AB89" s="4"/>
      <c r="AF89" s="4"/>
      <c r="AG89" s="4"/>
    </row>
  </sheetData>
  <sortState xmlns:xlrd2="http://schemas.microsoft.com/office/spreadsheetml/2017/richdata2" ref="A24:AG43">
    <sortCondition ref="V24:V43"/>
    <sortCondition ref="M24:M43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整体缺陷G</vt:lpstr>
      <vt:lpstr>局部缺陷L</vt:lpstr>
      <vt:lpstr>残余应力R</vt:lpstr>
      <vt:lpstr>材料组合M</vt:lpstr>
      <vt:lpstr>复合比B</vt:lpstr>
      <vt:lpstr>复合比bn</vt:lpstr>
      <vt:lpstr>拐角半径C</vt:lpstr>
      <vt:lpstr>拐角半径cn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Zhuo Zeng</cp:lastModifiedBy>
  <dcterms:created xsi:type="dcterms:W3CDTF">2015-06-05T18:17:20Z</dcterms:created>
  <dcterms:modified xsi:type="dcterms:W3CDTF">2026-03-27T13:56:00Z</dcterms:modified>
</cp:coreProperties>
</file>